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9420" windowHeight="7760" firstSheet="1" activeTab="1"/>
  </bookViews>
  <sheets>
    <sheet name="Savings Reg." sheetId="1" r:id="rId1"/>
    <sheet name="Invest&amp;Recovery" sheetId="2" r:id="rId2"/>
  </sheets>
  <definedNames>
    <definedName name="_xlnm._FilterDatabase" localSheetId="0" hidden="1">'Savings Reg.'!$A$13:$D$14</definedName>
  </definedNames>
  <calcPr calcId="144525"/>
</workbook>
</file>

<file path=xl/calcChain.xml><?xml version="1.0" encoding="utf-8"?>
<calcChain xmlns="http://schemas.openxmlformats.org/spreadsheetml/2006/main">
  <c r="P86" i="1" l="1"/>
  <c r="R82" i="1" l="1"/>
  <c r="R83" i="1"/>
  <c r="R84" i="1"/>
  <c r="R85" i="1"/>
  <c r="R4" i="1"/>
  <c r="L86" i="1"/>
  <c r="C86" i="1"/>
  <c r="M86" i="1" l="1"/>
  <c r="N86" i="1"/>
  <c r="O86" i="1"/>
  <c r="I86" i="1"/>
  <c r="J86" i="1"/>
  <c r="K86" i="1"/>
  <c r="E86" i="1"/>
  <c r="F86" i="1"/>
  <c r="G86" i="1"/>
  <c r="H86" i="1"/>
  <c r="D86" i="1"/>
  <c r="Q82" i="1"/>
  <c r="Q83" i="1"/>
  <c r="Q84" i="1"/>
  <c r="Q85" i="1"/>
  <c r="R81" i="1" l="1"/>
  <c r="Q81" i="1" l="1"/>
  <c r="R80" i="1" l="1"/>
  <c r="R79" i="1" l="1"/>
  <c r="Q79" i="1"/>
  <c r="Q80" i="1" l="1"/>
  <c r="R78" i="1" l="1"/>
  <c r="R77" i="1"/>
  <c r="Q77" i="1"/>
  <c r="Q78" i="1" l="1"/>
  <c r="R76" i="1"/>
  <c r="Q76" i="1"/>
  <c r="Q25" i="1" l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Q14" i="1" l="1"/>
  <c r="Q15" i="1"/>
  <c r="Q16" i="1"/>
  <c r="Q17" i="1"/>
  <c r="Q18" i="1"/>
  <c r="Q19" i="1"/>
  <c r="Q20" i="1"/>
  <c r="Q21" i="1"/>
  <c r="Q22" i="1"/>
  <c r="Q23" i="1"/>
  <c r="Q24" i="1"/>
  <c r="Q5" i="1"/>
  <c r="Q6" i="1"/>
  <c r="Q7" i="1"/>
  <c r="Q8" i="1"/>
  <c r="Q9" i="1"/>
  <c r="Q10" i="1"/>
  <c r="Q11" i="1"/>
  <c r="Q12" i="1"/>
  <c r="Q13" i="1"/>
  <c r="Q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86" i="1" l="1"/>
</calcChain>
</file>

<file path=xl/comments1.xml><?xml version="1.0" encoding="utf-8"?>
<comments xmlns="http://schemas.openxmlformats.org/spreadsheetml/2006/main">
  <authors>
    <author>Author</author>
  </authors>
  <commentList>
    <comment ref="C55" authorId="0">
      <text>
        <r>
          <rPr>
            <b/>
            <sz val="9"/>
            <color indexed="81"/>
            <rFont val="Tahoma"/>
            <family val="2"/>
          </rPr>
          <t xml:space="preserve">2shares increased in Dec-25 paying all dues with profit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D4" authorId="0">
      <text>
        <r>
          <rPr>
            <b/>
            <sz val="9"/>
            <color indexed="81"/>
            <rFont val="Tahoma"/>
            <family val="2"/>
          </rPr>
          <t>After closing a year, 1.The individual outstanding amount wiil be forwarded to the Approval amount (Column-10).
2.In  Approx profit-Column-12 should be entered 0 manually.
3.And Column-14 will be the remainng number of Installment.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4. And Total payable (Column-13) and Approval amount Column no-10 will be the same. </t>
        </r>
      </text>
    </comment>
    <comment ref="W12" authorId="0">
      <text>
        <r>
          <rPr>
            <b/>
            <sz val="9"/>
            <color indexed="81"/>
            <rFont val="Tahoma"/>
            <family val="2"/>
          </rPr>
          <t>Feb-26 payment 
Mar-26 due</t>
        </r>
      </text>
    </comment>
    <comment ref="AA46" authorId="0">
      <text>
        <r>
          <rPr>
            <b/>
            <sz val="9"/>
            <color indexed="81"/>
            <rFont val="Tahoma"/>
            <charset val="1"/>
          </rPr>
          <t xml:space="preserve">Profit input mannualy-417 from April,26 (1st)
</t>
        </r>
      </text>
    </comment>
  </commentList>
</comments>
</file>

<file path=xl/sharedStrings.xml><?xml version="1.0" encoding="utf-8"?>
<sst xmlns="http://schemas.openxmlformats.org/spreadsheetml/2006/main" count="203" uniqueCount="124">
  <si>
    <t>Name</t>
  </si>
  <si>
    <t>Alamgir Hosan</t>
  </si>
  <si>
    <t>S. M. Salim</t>
  </si>
  <si>
    <t>Hanif Shaikh</t>
  </si>
  <si>
    <t>Md. Mohsin Hosen</t>
  </si>
  <si>
    <t>Abu Bakker Siddique</t>
  </si>
  <si>
    <t>Share Value</t>
  </si>
  <si>
    <t>Ruksana Khatun</t>
  </si>
  <si>
    <t>Ruhul Amin</t>
  </si>
  <si>
    <t>Shabina Huqe</t>
  </si>
  <si>
    <t>Total Shares</t>
  </si>
  <si>
    <t>Md. Didarul Islam</t>
  </si>
  <si>
    <t>Asia Khatun</t>
  </si>
  <si>
    <t>Rawshanara</t>
  </si>
  <si>
    <t>May'25</t>
  </si>
  <si>
    <t>June'25</t>
  </si>
  <si>
    <t>July'25</t>
  </si>
  <si>
    <t>August'25</t>
  </si>
  <si>
    <t>September'25</t>
  </si>
  <si>
    <t>October'25</t>
  </si>
  <si>
    <t>November'25</t>
  </si>
  <si>
    <t>December'25</t>
  </si>
  <si>
    <t>January'26</t>
  </si>
  <si>
    <t>February'26</t>
  </si>
  <si>
    <t>March'26</t>
  </si>
  <si>
    <t>April'26</t>
  </si>
  <si>
    <t>Total Indivdual Savings</t>
  </si>
  <si>
    <t>Number of Months</t>
  </si>
  <si>
    <t>Number of Installment</t>
  </si>
  <si>
    <t xml:space="preserve">Number of Installment </t>
  </si>
  <si>
    <t>Investment</t>
  </si>
  <si>
    <t>Approval Date</t>
  </si>
  <si>
    <t>Approval Amount</t>
  </si>
  <si>
    <t>Recovery</t>
  </si>
  <si>
    <t>Profit (11+12)/14</t>
  </si>
  <si>
    <t xml:space="preserve">Approx. Profit </t>
  </si>
  <si>
    <t>Installment Break Down</t>
  </si>
  <si>
    <t>Type</t>
  </si>
  <si>
    <t>Personal Investment</t>
  </si>
  <si>
    <t>Business Investment</t>
  </si>
  <si>
    <t>Member ID</t>
  </si>
  <si>
    <t>Closing Date</t>
  </si>
  <si>
    <t>Razwanul Haque</t>
  </si>
  <si>
    <t>Rasel Shaikh</t>
  </si>
  <si>
    <t>S. M. Tarikul Islam</t>
  </si>
  <si>
    <t>Kazi Khairul Alam</t>
  </si>
  <si>
    <t>Ripa Akter</t>
  </si>
  <si>
    <t>Sk. Jewel</t>
  </si>
  <si>
    <t>Papia Sultana Tinni</t>
  </si>
  <si>
    <t>Md. Sha Nawaz</t>
  </si>
  <si>
    <t>Abid Zahangir</t>
  </si>
  <si>
    <t>Md. Abdulla-Al-Mamun</t>
  </si>
  <si>
    <t>Niamatullah Niam</t>
  </si>
  <si>
    <t>Afrin Afroza</t>
  </si>
  <si>
    <t>Mahbuba Akhi</t>
  </si>
  <si>
    <t>Hasan Kabir</t>
  </si>
  <si>
    <t>Buddhyadev Biswas</t>
  </si>
  <si>
    <t>Sk. Mahfujur Rahman</t>
  </si>
  <si>
    <t>Md. Mustain Hossain Shaik</t>
  </si>
  <si>
    <t>Shaikh Ashrafuzzaman</t>
  </si>
  <si>
    <t>Salma Akter</t>
  </si>
  <si>
    <t>Md. Mirajul Islam</t>
  </si>
  <si>
    <t>S. M. Niamul Islam</t>
  </si>
  <si>
    <t>Nazmun Nahar Nipa</t>
  </si>
  <si>
    <t>Md. Mostafa Shahriar</t>
  </si>
  <si>
    <t>Taheema Jannatul Mawa</t>
  </si>
  <si>
    <t>Farhana Yasmin</t>
  </si>
  <si>
    <t>Hasibur Rahman</t>
  </si>
  <si>
    <t>Mst. Hasna Tara Popy</t>
  </si>
  <si>
    <t>Mst. Fozilatunnesa</t>
  </si>
  <si>
    <t>Tasnia Ashraf</t>
  </si>
  <si>
    <t>Md. Khorshed Alam</t>
  </si>
  <si>
    <t>Mukta</t>
  </si>
  <si>
    <t>Raqibul Islam</t>
  </si>
  <si>
    <t>Tahiat Sadia</t>
  </si>
  <si>
    <t>Sheikh Md. Rasel</t>
  </si>
  <si>
    <t>Halima Akhtar Tanne</t>
  </si>
  <si>
    <t>Rafan Siddique Turjo</t>
  </si>
  <si>
    <t>M. M. Tamim Sharif</t>
  </si>
  <si>
    <t>Mamun Molla</t>
  </si>
  <si>
    <t>Shohag Hossain</t>
  </si>
  <si>
    <t>Md. Mohidul Hasan</t>
  </si>
  <si>
    <t>Azizur Rahman</t>
  </si>
  <si>
    <t>Md. Zahidul Islam</t>
  </si>
  <si>
    <t>Hasmoth Sheik</t>
  </si>
  <si>
    <t>Md. Tutul Hossain</t>
  </si>
  <si>
    <t>Muhammad Iyad Bin Raqib</t>
  </si>
  <si>
    <t>Labib Hasan</t>
  </si>
  <si>
    <t>Md Abdullah Salman</t>
  </si>
  <si>
    <t>Rexona Khatun</t>
  </si>
  <si>
    <t>Rabeya Khatun</t>
  </si>
  <si>
    <t>Rasel Hossen</t>
  </si>
  <si>
    <t>Mst. Ruma Afroz</t>
  </si>
  <si>
    <t>Kazi Muhammad Elias (Shohan)</t>
  </si>
  <si>
    <t>Most. Snigdha</t>
  </si>
  <si>
    <t>Rejoana Parvin</t>
  </si>
  <si>
    <t>Md. Rofikuzzaman Tuhin</t>
  </si>
  <si>
    <t>Humaun Kobir</t>
  </si>
  <si>
    <t>Customer ID</t>
  </si>
  <si>
    <t>Principal Amount(18-17)</t>
  </si>
  <si>
    <t>Monthly Installment (14/15)</t>
  </si>
  <si>
    <t>Total Profit (31*17)</t>
  </si>
  <si>
    <t>Total Recovery (32+33)</t>
  </si>
  <si>
    <t>Outstanding (principal) (11-32)</t>
  </si>
  <si>
    <t>Maliha Mehnaz</t>
  </si>
  <si>
    <t>Md. Rabiul Islam</t>
  </si>
  <si>
    <t>General Information</t>
  </si>
  <si>
    <t>Total Payable (11+13)</t>
  </si>
  <si>
    <t>Md. Fariduzzaman</t>
  </si>
  <si>
    <t>Nayan Biswas</t>
  </si>
  <si>
    <t>Md. Ali</t>
  </si>
  <si>
    <t>Mezbah Uddin</t>
  </si>
  <si>
    <t>Ashraf Hossen</t>
  </si>
  <si>
    <t>Md Maruf Billah</t>
  </si>
  <si>
    <t>Total Principal (Recovered)</t>
  </si>
  <si>
    <t>Julybib Hossain</t>
  </si>
  <si>
    <t>16/2/2026</t>
  </si>
  <si>
    <t>Hanif Shaikh-2</t>
  </si>
  <si>
    <t>Farhana Mostofa</t>
  </si>
  <si>
    <t>Md. Razoan Soardar</t>
  </si>
  <si>
    <t>Abu Musa</t>
  </si>
  <si>
    <t>Md. Wahidur Rahman</t>
  </si>
  <si>
    <t>Wahidur Rahman</t>
  </si>
  <si>
    <t>Outstanding with Profit (14-34)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</si>
</sst>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d\-mmm\-yyyy;@"/>
  </numFmts>
  <fonts count="1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20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9"/>
      <color indexed="81"/>
      <name val="Tahoma"/>
      <charset val="1"/>
    </font>
    <font>
      <sz val="11"/>
      <color theme="1" tint="0.1499984740745262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3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1" xfId="0" applyFont="1" applyBorder="1"/>
    <xf numFmtId="0" fontId="6" fillId="0" borderId="11" xfId="0" applyFont="1" applyBorder="1"/>
    <xf numFmtId="0" fontId="5" fillId="0" borderId="1" xfId="0" applyFont="1" applyFill="1" applyBorder="1"/>
    <xf numFmtId="14" fontId="4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4" fillId="3" borderId="9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2" fontId="4" fillId="2" borderId="6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5" borderId="1" xfId="0" applyFill="1" applyBorder="1"/>
    <xf numFmtId="0" fontId="5" fillId="5" borderId="1" xfId="0" applyFont="1" applyFill="1" applyBorder="1"/>
    <xf numFmtId="0" fontId="8" fillId="0" borderId="2" xfId="0" applyFont="1" applyBorder="1"/>
    <xf numFmtId="0" fontId="8" fillId="0" borderId="1" xfId="0" applyFont="1" applyFill="1" applyBorder="1"/>
    <xf numFmtId="0" fontId="0" fillId="0" borderId="1" xfId="0" applyBorder="1" applyAlignment="1">
      <alignment horizontal="center"/>
    </xf>
    <xf numFmtId="164" fontId="5" fillId="0" borderId="2" xfId="0" applyNumberFormat="1" applyFont="1" applyBorder="1"/>
    <xf numFmtId="165" fontId="0" fillId="0" borderId="0" xfId="1" applyNumberFormat="1" applyFont="1"/>
    <xf numFmtId="165" fontId="4" fillId="2" borderId="2" xfId="1" applyNumberFormat="1" applyFont="1" applyFill="1" applyBorder="1" applyAlignment="1">
      <alignment horizontal="center" vertical="center" wrapText="1"/>
    </xf>
    <xf numFmtId="165" fontId="4" fillId="3" borderId="9" xfId="1" applyNumberFormat="1" applyFont="1" applyFill="1" applyBorder="1" applyAlignment="1">
      <alignment horizontal="center" vertical="center" wrapText="1"/>
    </xf>
    <xf numFmtId="165" fontId="5" fillId="4" borderId="2" xfId="1" applyNumberFormat="1" applyFont="1" applyFill="1" applyBorder="1"/>
    <xf numFmtId="165" fontId="6" fillId="2" borderId="11" xfId="1" applyNumberFormat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/>
    <xf numFmtId="165" fontId="6" fillId="2" borderId="1" xfId="1" applyNumberFormat="1" applyFont="1" applyFill="1" applyBorder="1" applyAlignment="1">
      <alignment horizontal="center" vertical="center"/>
    </xf>
    <xf numFmtId="165" fontId="5" fillId="4" borderId="6" xfId="1" applyNumberFormat="1" applyFont="1" applyFill="1" applyBorder="1"/>
    <xf numFmtId="165" fontId="5" fillId="4" borderId="10" xfId="1" applyNumberFormat="1" applyFont="1" applyFill="1" applyBorder="1"/>
    <xf numFmtId="165" fontId="7" fillId="2" borderId="3" xfId="1" applyNumberFormat="1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/>
    </xf>
    <xf numFmtId="166" fontId="10" fillId="0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5" fillId="0" borderId="2" xfId="0" applyNumberFormat="1" applyFont="1" applyBorder="1"/>
    <xf numFmtId="165" fontId="5" fillId="5" borderId="1" xfId="1" applyNumberFormat="1" applyFont="1" applyFill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2" xfId="0" applyFont="1" applyBorder="1"/>
    <xf numFmtId="165" fontId="11" fillId="4" borderId="2" xfId="1" applyNumberFormat="1" applyFont="1" applyFill="1" applyBorder="1"/>
    <xf numFmtId="0" fontId="11" fillId="0" borderId="13" xfId="0" applyFont="1" applyFill="1" applyBorder="1"/>
    <xf numFmtId="165" fontId="11" fillId="4" borderId="10" xfId="1" applyNumberFormat="1" applyFont="1" applyFill="1" applyBorder="1"/>
    <xf numFmtId="0" fontId="11" fillId="5" borderId="1" xfId="0" applyFont="1" applyFill="1" applyBorder="1"/>
    <xf numFmtId="0" fontId="11" fillId="0" borderId="1" xfId="0" applyFont="1" applyFill="1" applyBorder="1"/>
    <xf numFmtId="0" fontId="11" fillId="5" borderId="1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5" borderId="1" xfId="0" applyFont="1" applyFill="1" applyBorder="1"/>
    <xf numFmtId="0" fontId="12" fillId="0" borderId="13" xfId="0" applyFont="1" applyFill="1" applyBorder="1"/>
    <xf numFmtId="0" fontId="12" fillId="0" borderId="2" xfId="0" applyFont="1" applyBorder="1"/>
    <xf numFmtId="14" fontId="12" fillId="0" borderId="2" xfId="0" applyNumberFormat="1" applyFont="1" applyBorder="1"/>
    <xf numFmtId="165" fontId="12" fillId="4" borderId="2" xfId="1" applyNumberFormat="1" applyFont="1" applyFill="1" applyBorder="1"/>
    <xf numFmtId="165" fontId="12" fillId="4" borderId="10" xfId="1" applyNumberFormat="1" applyFont="1" applyFill="1" applyBorder="1"/>
    <xf numFmtId="0" fontId="12" fillId="0" borderId="1" xfId="0" applyFont="1" applyFill="1" applyBorder="1"/>
    <xf numFmtId="165" fontId="12" fillId="4" borderId="1" xfId="1" applyNumberFormat="1" applyFont="1" applyFill="1" applyBorder="1"/>
    <xf numFmtId="0" fontId="12" fillId="5" borderId="1" xfId="0" applyNumberFormat="1" applyFont="1" applyFill="1" applyBorder="1"/>
    <xf numFmtId="165" fontId="6" fillId="0" borderId="11" xfId="0" applyNumberFormat="1" applyFont="1" applyBorder="1"/>
    <xf numFmtId="0" fontId="8" fillId="6" borderId="1" xfId="0" applyFont="1" applyFill="1" applyBorder="1"/>
    <xf numFmtId="0" fontId="5" fillId="0" borderId="2" xfId="0" applyFont="1" applyFill="1" applyBorder="1"/>
    <xf numFmtId="0" fontId="12" fillId="6" borderId="2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2" xfId="0" applyFont="1" applyBorder="1"/>
    <xf numFmtId="14" fontId="13" fillId="0" borderId="2" xfId="0" applyNumberFormat="1" applyFont="1" applyBorder="1"/>
    <xf numFmtId="0" fontId="13" fillId="6" borderId="2" xfId="0" applyFont="1" applyFill="1" applyBorder="1"/>
    <xf numFmtId="165" fontId="13" fillId="4" borderId="2" xfId="1" applyNumberFormat="1" applyFont="1" applyFill="1" applyBorder="1"/>
    <xf numFmtId="0" fontId="13" fillId="0" borderId="13" xfId="0" applyFont="1" applyFill="1" applyBorder="1"/>
    <xf numFmtId="165" fontId="13" fillId="0" borderId="1" xfId="1" applyNumberFormat="1" applyFont="1" applyFill="1" applyBorder="1"/>
    <xf numFmtId="165" fontId="13" fillId="4" borderId="10" xfId="1" applyNumberFormat="1" applyFont="1" applyFill="1" applyBorder="1"/>
    <xf numFmtId="0" fontId="13" fillId="5" borderId="1" xfId="0" applyFont="1" applyFill="1" applyBorder="1"/>
    <xf numFmtId="0" fontId="13" fillId="0" borderId="1" xfId="0" applyFont="1" applyFill="1" applyBorder="1"/>
    <xf numFmtId="0" fontId="5" fillId="6" borderId="1" xfId="0" applyFont="1" applyFill="1" applyBorder="1"/>
    <xf numFmtId="0" fontId="13" fillId="5" borderId="1" xfId="0" applyNumberFormat="1" applyFont="1" applyFill="1" applyBorder="1"/>
    <xf numFmtId="14" fontId="13" fillId="0" borderId="2" xfId="0" applyNumberFormat="1" applyFont="1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165" fontId="5" fillId="6" borderId="1" xfId="1" applyNumberFormat="1" applyFont="1" applyFill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2" xfId="0" applyFont="1" applyBorder="1"/>
    <xf numFmtId="14" fontId="15" fillId="0" borderId="2" xfId="0" applyNumberFormat="1" applyFont="1" applyBorder="1"/>
    <xf numFmtId="165" fontId="15" fillId="4" borderId="2" xfId="1" applyNumberFormat="1" applyFont="1" applyFill="1" applyBorder="1"/>
    <xf numFmtId="0" fontId="15" fillId="0" borderId="13" xfId="0" applyFont="1" applyFill="1" applyBorder="1"/>
    <xf numFmtId="165" fontId="15" fillId="0" borderId="1" xfId="1" applyNumberFormat="1" applyFont="1" applyFill="1" applyBorder="1"/>
    <xf numFmtId="165" fontId="15" fillId="4" borderId="10" xfId="1" applyNumberFormat="1" applyFont="1" applyFill="1" applyBorder="1"/>
    <xf numFmtId="14" fontId="15" fillId="0" borderId="2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3" xfId="0" applyFont="1" applyFill="1" applyBorder="1"/>
    <xf numFmtId="165" fontId="6" fillId="2" borderId="1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6"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9" formatCode="m/d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19" formatCode="m/d/yy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0.1499984740745262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Table5" displayName="Table5" ref="A3:R86" totalsRowShown="0" headerRowDxfId="55" dataDxfId="53" headerRowBorderDxfId="54" tableBorderDxfId="52">
  <tableColumns count="18">
    <tableColumn id="2" name="Name" dataDxfId="51"/>
    <tableColumn id="5" name="Member ID" dataDxfId="50"/>
    <tableColumn id="8" name="Total Shares" dataDxfId="49"/>
    <tableColumn id="9" name="Share Value" dataDxfId="48"/>
    <tableColumn id="10" name="May'25" dataDxfId="47"/>
    <tableColumn id="11" name="June'25" dataDxfId="46"/>
    <tableColumn id="12" name="July'25" dataDxfId="45"/>
    <tableColumn id="13" name="August'25" dataDxfId="44"/>
    <tableColumn id="14" name="September'25" dataDxfId="43"/>
    <tableColumn id="15" name="October'25" dataDxfId="42"/>
    <tableColumn id="16" name="November'25" dataDxfId="41"/>
    <tableColumn id="17" name="December'25" dataDxfId="40"/>
    <tableColumn id="18" name="January'26" dataDxfId="39"/>
    <tableColumn id="19" name="February'26" dataDxfId="38"/>
    <tableColumn id="20" name="March'26" dataDxfId="37"/>
    <tableColumn id="21" name="April'26" dataDxfId="36"/>
    <tableColumn id="23" name="Number of Months" dataDxfId="35">
      <calculatedColumnFormula>COUNT(Table5[[#This Row],[May''25]:[April''26]])</calculatedColumnFormula>
    </tableColumn>
    <tableColumn id="22" name="Total Indivdual Savings" dataDxfId="34" dataCellStyle="Comma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6" name="Table57" displayName="Table57" ref="A4:AD61" totalsRowShown="0" headerRowDxfId="33" dataDxfId="31" headerRowBorderDxfId="32" tableBorderDxfId="30">
  <tableColumns count="30">
    <tableColumn id="2" name="Name" dataDxfId="29"/>
    <tableColumn id="5" name="Customer ID" dataDxfId="28"/>
    <tableColumn id="43" name="Type" dataDxfId="27"/>
    <tableColumn id="26" name="Approval Date" dataDxfId="26"/>
    <tableColumn id="1" name="Closing Date" dataDxfId="25"/>
    <tableColumn id="25" name="Approval Amount" dataDxfId="24"/>
    <tableColumn id="29" name="Approx. Profit " dataDxfId="23" dataCellStyle="Comma"/>
    <tableColumn id="27" name="Total Payable (11+13)" dataDxfId="22" dataCellStyle="Comma"/>
    <tableColumn id="41" name="Number of Installment" dataDxfId="21"/>
    <tableColumn id="32" name="Principal Amount(18-17)" dataDxfId="20" dataCellStyle="Comma"/>
    <tableColumn id="31" name="Profit (11+12)/14" dataDxfId="19" dataCellStyle="Comma"/>
    <tableColumn id="30" name="Monthly Installment (14/15)" dataDxfId="18" dataCellStyle="Comma"/>
    <tableColumn id="10" name="May'25" dataDxfId="17"/>
    <tableColumn id="11" name="June'25" dataDxfId="16"/>
    <tableColumn id="12" name="July'25" dataDxfId="15"/>
    <tableColumn id="13" name="August'25" dataDxfId="14"/>
    <tableColumn id="14" name="September'25" dataDxfId="13"/>
    <tableColumn id="15" name="October'25" dataDxfId="12"/>
    <tableColumn id="16" name="November'25" dataDxfId="11"/>
    <tableColumn id="17" name="December'25" dataDxfId="10"/>
    <tableColumn id="18" name="January'26" dataDxfId="9"/>
    <tableColumn id="19" name="February'26" dataDxfId="8"/>
    <tableColumn id="20" name="March'26" dataDxfId="7"/>
    <tableColumn id="21" name="April'26" dataDxfId="6"/>
    <tableColumn id="23" name="Number of Installment " dataDxfId="5" dataCellStyle="Comma"/>
    <tableColumn id="37" name="Total Principal (Recovered)" dataDxfId="4" dataCellStyle="Comma"/>
    <tableColumn id="36" name="Total Profit (31*17)" dataDxfId="3" dataCellStyle="Comma"/>
    <tableColumn id="22" name="Total Recovery (32+33)" dataDxfId="2" dataCellStyle="Comma"/>
    <tableColumn id="3" name="Outstanding (principal) (11-32)" dataDxfId="1" dataCellStyle="Comma"/>
    <tableColumn id="38" name="Outstanding with Profit (14-34)" dataDxfId="0" dataCellStyle="Comm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86"/>
  <sheetViews>
    <sheetView topLeftCell="A73" zoomScale="85" zoomScaleNormal="85" workbookViewId="0">
      <selection activeCell="I95" sqref="I95"/>
    </sheetView>
  </sheetViews>
  <sheetFormatPr defaultRowHeight="14.5" x14ac:dyDescent="0.35"/>
  <cols>
    <col min="1" max="1" width="27.453125" bestFit="1" customWidth="1"/>
    <col min="2" max="2" width="10.54296875" bestFit="1" customWidth="1"/>
    <col min="3" max="3" width="6.7265625" customWidth="1"/>
    <col min="4" max="4" width="8.6328125" bestFit="1" customWidth="1"/>
    <col min="5" max="5" width="8.81640625" customWidth="1"/>
    <col min="6" max="6" width="9.1796875" customWidth="1"/>
    <col min="7" max="7" width="8.7265625" customWidth="1"/>
    <col min="8" max="8" width="11.1796875" customWidth="1"/>
    <col min="9" max="9" width="11.7265625" customWidth="1"/>
    <col min="10" max="10" width="12.1796875" customWidth="1"/>
    <col min="11" max="11" width="11.26953125" customWidth="1"/>
    <col min="12" max="12" width="10.54296875" customWidth="1"/>
    <col min="13" max="13" width="11.7265625" customWidth="1"/>
    <col min="14" max="14" width="9.26953125" customWidth="1"/>
    <col min="15" max="15" width="10.54296875" customWidth="1"/>
    <col min="16" max="17" width="9.1796875" customWidth="1"/>
    <col min="18" max="18" width="13.54296875" customWidth="1"/>
  </cols>
  <sheetData>
    <row r="1" spans="1:18" ht="14.5" customHeight="1" x14ac:dyDescent="0.3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2"/>
    </row>
    <row r="2" spans="1:18" ht="14.5" customHeight="1" x14ac:dyDescent="0.35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</row>
    <row r="3" spans="1:18" ht="45" x14ac:dyDescent="0.25">
      <c r="A3" s="1" t="s">
        <v>0</v>
      </c>
      <c r="B3" s="1" t="s">
        <v>40</v>
      </c>
      <c r="C3" s="1" t="s">
        <v>10</v>
      </c>
      <c r="D3" s="1" t="s">
        <v>6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2" t="s">
        <v>27</v>
      </c>
      <c r="R3" s="2" t="s">
        <v>26</v>
      </c>
    </row>
    <row r="4" spans="1:18" ht="15" x14ac:dyDescent="0.25">
      <c r="A4" s="13" t="s">
        <v>5</v>
      </c>
      <c r="B4" s="21">
        <v>202504001</v>
      </c>
      <c r="C4" s="17">
        <v>2</v>
      </c>
      <c r="D4" s="17">
        <v>2000</v>
      </c>
      <c r="E4" s="3">
        <v>2000</v>
      </c>
      <c r="F4" s="3">
        <v>2000</v>
      </c>
      <c r="G4" s="3">
        <v>2000</v>
      </c>
      <c r="H4" s="3">
        <v>2000</v>
      </c>
      <c r="I4" s="3">
        <v>2000</v>
      </c>
      <c r="J4" s="6">
        <v>2000</v>
      </c>
      <c r="K4" s="6">
        <v>2000</v>
      </c>
      <c r="L4" s="6">
        <v>2000</v>
      </c>
      <c r="M4" s="6">
        <v>2000</v>
      </c>
      <c r="N4" s="6">
        <v>2000</v>
      </c>
      <c r="O4" s="6">
        <v>2000</v>
      </c>
      <c r="P4" s="6">
        <v>2000</v>
      </c>
      <c r="Q4" s="18">
        <f>COUNT(Table5[[#This Row],[May''25]:[April''26]])</f>
        <v>12</v>
      </c>
      <c r="R4" s="38">
        <f>SUM(E4:P4)</f>
        <v>24000</v>
      </c>
    </row>
    <row r="5" spans="1:18" ht="15" x14ac:dyDescent="0.25">
      <c r="A5" s="13" t="s">
        <v>77</v>
      </c>
      <c r="B5" s="21">
        <v>202504002</v>
      </c>
      <c r="C5" s="17">
        <v>1</v>
      </c>
      <c r="D5" s="17">
        <v>1000</v>
      </c>
      <c r="E5" s="3">
        <v>1000</v>
      </c>
      <c r="F5" s="3">
        <v>1000</v>
      </c>
      <c r="G5" s="3">
        <v>1000</v>
      </c>
      <c r="H5" s="3">
        <v>1000</v>
      </c>
      <c r="I5" s="3">
        <v>1000</v>
      </c>
      <c r="J5" s="6">
        <v>1000</v>
      </c>
      <c r="K5" s="6">
        <v>1000</v>
      </c>
      <c r="L5" s="6">
        <v>1000</v>
      </c>
      <c r="M5" s="6">
        <v>1000</v>
      </c>
      <c r="N5" s="6">
        <v>1000</v>
      </c>
      <c r="O5" s="6">
        <v>1000</v>
      </c>
      <c r="P5" s="6">
        <v>1000</v>
      </c>
      <c r="Q5" s="18">
        <f>COUNT(Table5[[#This Row],[May''25]:[April''26]])</f>
        <v>12</v>
      </c>
      <c r="R5" s="38">
        <f t="shared" ref="R5:R68" si="0">SUM(E5:P5)</f>
        <v>12000</v>
      </c>
    </row>
    <row r="6" spans="1:18" ht="15" x14ac:dyDescent="0.25">
      <c r="A6" s="13" t="s">
        <v>59</v>
      </c>
      <c r="B6" s="21">
        <v>202504003</v>
      </c>
      <c r="C6" s="17">
        <v>2</v>
      </c>
      <c r="D6" s="17">
        <v>2000</v>
      </c>
      <c r="E6" s="3">
        <v>2000</v>
      </c>
      <c r="F6" s="3">
        <v>2000</v>
      </c>
      <c r="G6" s="3">
        <v>2000</v>
      </c>
      <c r="H6" s="3">
        <v>2000</v>
      </c>
      <c r="I6" s="3">
        <v>2000</v>
      </c>
      <c r="J6" s="6">
        <v>2000</v>
      </c>
      <c r="K6" s="6">
        <v>2000</v>
      </c>
      <c r="L6" s="6">
        <v>2000</v>
      </c>
      <c r="M6" s="6">
        <v>2000</v>
      </c>
      <c r="N6" s="6">
        <v>2000</v>
      </c>
      <c r="O6" s="6">
        <v>2000</v>
      </c>
      <c r="P6" s="6">
        <v>2000</v>
      </c>
      <c r="Q6" s="18">
        <f>COUNT(Table5[[#This Row],[May''25]:[April''26]])</f>
        <v>12</v>
      </c>
      <c r="R6" s="38">
        <f t="shared" si="0"/>
        <v>24000</v>
      </c>
    </row>
    <row r="7" spans="1:18" ht="15" x14ac:dyDescent="0.25">
      <c r="A7" s="13" t="s">
        <v>60</v>
      </c>
      <c r="B7" s="21">
        <v>202504004</v>
      </c>
      <c r="C7" s="17">
        <v>1</v>
      </c>
      <c r="D7" s="17">
        <v>1000</v>
      </c>
      <c r="E7" s="3">
        <v>1000</v>
      </c>
      <c r="F7" s="3">
        <v>1000</v>
      </c>
      <c r="G7" s="3">
        <v>1000</v>
      </c>
      <c r="H7" s="3">
        <v>1000</v>
      </c>
      <c r="I7" s="3">
        <v>1000</v>
      </c>
      <c r="J7" s="6">
        <v>1000</v>
      </c>
      <c r="K7" s="6">
        <v>1000</v>
      </c>
      <c r="L7" s="6">
        <v>1000</v>
      </c>
      <c r="M7" s="6">
        <v>1000</v>
      </c>
      <c r="N7" s="6">
        <v>1000</v>
      </c>
      <c r="O7" s="6">
        <v>1000</v>
      </c>
      <c r="P7" s="6">
        <v>1000</v>
      </c>
      <c r="Q7" s="18">
        <f>COUNT(Table5[[#This Row],[May''25]:[April''26]])</f>
        <v>12</v>
      </c>
      <c r="R7" s="38">
        <f t="shared" si="0"/>
        <v>12000</v>
      </c>
    </row>
    <row r="8" spans="1:18" ht="15" x14ac:dyDescent="0.25">
      <c r="A8" s="13" t="s">
        <v>104</v>
      </c>
      <c r="B8" s="21">
        <v>202504005</v>
      </c>
      <c r="C8" s="17">
        <v>1</v>
      </c>
      <c r="D8" s="17">
        <v>1000</v>
      </c>
      <c r="E8" s="3">
        <v>1000</v>
      </c>
      <c r="F8" s="3">
        <v>1000</v>
      </c>
      <c r="G8" s="3">
        <v>1000</v>
      </c>
      <c r="H8" s="3">
        <v>1000</v>
      </c>
      <c r="I8" s="3">
        <v>1000</v>
      </c>
      <c r="J8" s="6">
        <v>1000</v>
      </c>
      <c r="K8" s="6">
        <v>1000</v>
      </c>
      <c r="L8" s="6">
        <v>1000</v>
      </c>
      <c r="M8" s="6">
        <v>1000</v>
      </c>
      <c r="N8" s="6">
        <v>1000</v>
      </c>
      <c r="O8" s="6">
        <v>1000</v>
      </c>
      <c r="P8" s="6">
        <v>1000</v>
      </c>
      <c r="Q8" s="18">
        <f>COUNT(Table5[[#This Row],[May''25]:[April''26]])</f>
        <v>12</v>
      </c>
      <c r="R8" s="38">
        <f t="shared" si="0"/>
        <v>12000</v>
      </c>
    </row>
    <row r="9" spans="1:18" ht="15" x14ac:dyDescent="0.25">
      <c r="A9" s="13" t="s">
        <v>73</v>
      </c>
      <c r="B9" s="21">
        <v>202504006</v>
      </c>
      <c r="C9" s="17">
        <v>3</v>
      </c>
      <c r="D9" s="17">
        <v>3000</v>
      </c>
      <c r="E9" s="3">
        <v>3000</v>
      </c>
      <c r="F9" s="3">
        <v>3000</v>
      </c>
      <c r="G9" s="3">
        <v>3000</v>
      </c>
      <c r="H9" s="3">
        <v>3000</v>
      </c>
      <c r="I9" s="3">
        <v>3000</v>
      </c>
      <c r="J9" s="6">
        <v>3000</v>
      </c>
      <c r="K9" s="6">
        <v>3000</v>
      </c>
      <c r="L9" s="6">
        <v>3000</v>
      </c>
      <c r="M9" s="6">
        <v>3000</v>
      </c>
      <c r="N9" s="6">
        <v>3000</v>
      </c>
      <c r="O9" s="6">
        <v>3000</v>
      </c>
      <c r="P9" s="6">
        <v>3000</v>
      </c>
      <c r="Q9" s="18">
        <f>COUNT(Table5[[#This Row],[May''25]:[April''26]])</f>
        <v>12</v>
      </c>
      <c r="R9" s="38">
        <f t="shared" si="0"/>
        <v>36000</v>
      </c>
    </row>
    <row r="10" spans="1:18" ht="15" x14ac:dyDescent="0.25">
      <c r="A10" s="13" t="s">
        <v>53</v>
      </c>
      <c r="B10" s="21">
        <v>202504007</v>
      </c>
      <c r="C10" s="17">
        <v>2</v>
      </c>
      <c r="D10" s="17">
        <v>2000</v>
      </c>
      <c r="E10" s="3">
        <v>2000</v>
      </c>
      <c r="F10" s="3">
        <v>2000</v>
      </c>
      <c r="G10" s="3">
        <v>2000</v>
      </c>
      <c r="H10" s="3">
        <v>2000</v>
      </c>
      <c r="I10" s="3">
        <v>2000</v>
      </c>
      <c r="J10" s="6">
        <v>2000</v>
      </c>
      <c r="K10" s="6">
        <v>2000</v>
      </c>
      <c r="L10" s="6">
        <v>2000</v>
      </c>
      <c r="M10" s="6">
        <v>2000</v>
      </c>
      <c r="N10" s="6">
        <v>2000</v>
      </c>
      <c r="O10" s="6">
        <v>2000</v>
      </c>
      <c r="P10" s="6">
        <v>2000</v>
      </c>
      <c r="Q10" s="18">
        <f>COUNT(Table5[[#This Row],[May''25]:[April''26]])</f>
        <v>12</v>
      </c>
      <c r="R10" s="38">
        <f t="shared" si="0"/>
        <v>24000</v>
      </c>
    </row>
    <row r="11" spans="1:18" ht="15" x14ac:dyDescent="0.25">
      <c r="A11" s="13" t="s">
        <v>86</v>
      </c>
      <c r="B11" s="21">
        <v>202504008</v>
      </c>
      <c r="C11" s="17">
        <v>1</v>
      </c>
      <c r="D11" s="17">
        <v>1000</v>
      </c>
      <c r="E11" s="3">
        <v>1000</v>
      </c>
      <c r="F11" s="3">
        <v>1000</v>
      </c>
      <c r="G11" s="3">
        <v>1000</v>
      </c>
      <c r="H11" s="3">
        <v>1000</v>
      </c>
      <c r="I11" s="3">
        <v>1000</v>
      </c>
      <c r="J11" s="6">
        <v>1000</v>
      </c>
      <c r="K11" s="6">
        <v>1000</v>
      </c>
      <c r="L11" s="6">
        <v>1000</v>
      </c>
      <c r="M11" s="6">
        <v>1000</v>
      </c>
      <c r="N11" s="6">
        <v>1000</v>
      </c>
      <c r="O11" s="6">
        <v>1000</v>
      </c>
      <c r="P11" s="6">
        <v>1000</v>
      </c>
      <c r="Q11" s="18">
        <f>COUNT(Table5[[#This Row],[May''25]:[April''26]])</f>
        <v>12</v>
      </c>
      <c r="R11" s="38">
        <f t="shared" si="0"/>
        <v>12000</v>
      </c>
    </row>
    <row r="12" spans="1:18" ht="15" x14ac:dyDescent="0.25">
      <c r="A12" s="13" t="s">
        <v>93</v>
      </c>
      <c r="B12" s="21">
        <v>202504009</v>
      </c>
      <c r="C12" s="17">
        <v>1</v>
      </c>
      <c r="D12" s="17">
        <v>1000</v>
      </c>
      <c r="E12" s="3">
        <v>1000</v>
      </c>
      <c r="F12" s="3">
        <v>5000</v>
      </c>
      <c r="G12" s="3">
        <v>0</v>
      </c>
      <c r="H12" s="3">
        <v>0</v>
      </c>
      <c r="I12" s="3">
        <v>0</v>
      </c>
      <c r="J12" s="6">
        <v>0</v>
      </c>
      <c r="K12" s="6">
        <v>1000</v>
      </c>
      <c r="L12" s="6">
        <v>1000</v>
      </c>
      <c r="M12" s="6">
        <v>1000</v>
      </c>
      <c r="N12" s="6">
        <v>5000</v>
      </c>
      <c r="O12" s="6">
        <v>0</v>
      </c>
      <c r="P12" s="6">
        <v>0</v>
      </c>
      <c r="Q12" s="18">
        <f>COUNT(Table5[[#This Row],[May''25]:[April''26]])</f>
        <v>12</v>
      </c>
      <c r="R12" s="38">
        <f t="shared" si="0"/>
        <v>14000</v>
      </c>
    </row>
    <row r="13" spans="1:18" ht="15" x14ac:dyDescent="0.25">
      <c r="A13" s="13" t="s">
        <v>91</v>
      </c>
      <c r="B13" s="21">
        <v>202504010</v>
      </c>
      <c r="C13" s="17">
        <v>2</v>
      </c>
      <c r="D13" s="17">
        <v>2000</v>
      </c>
      <c r="E13" s="3">
        <v>2000</v>
      </c>
      <c r="F13" s="3">
        <v>2000</v>
      </c>
      <c r="G13" s="3">
        <v>2000</v>
      </c>
      <c r="H13" s="3">
        <v>2000</v>
      </c>
      <c r="I13" s="3">
        <v>2000</v>
      </c>
      <c r="J13" s="6">
        <v>2000</v>
      </c>
      <c r="K13" s="6">
        <v>2000</v>
      </c>
      <c r="L13" s="6">
        <v>2000</v>
      </c>
      <c r="M13" s="6">
        <v>2000</v>
      </c>
      <c r="N13" s="6">
        <v>2000</v>
      </c>
      <c r="O13" s="6">
        <v>2000</v>
      </c>
      <c r="P13" s="6">
        <v>2000</v>
      </c>
      <c r="Q13" s="18">
        <f>COUNT(Table5[[#This Row],[May''25]:[April''26]])</f>
        <v>12</v>
      </c>
      <c r="R13" s="38">
        <f t="shared" si="0"/>
        <v>24000</v>
      </c>
    </row>
    <row r="14" spans="1:18" ht="15" x14ac:dyDescent="0.25">
      <c r="A14" s="13" t="s">
        <v>64</v>
      </c>
      <c r="B14" s="21">
        <v>202504011</v>
      </c>
      <c r="C14" s="17">
        <v>5</v>
      </c>
      <c r="D14" s="17">
        <v>5000</v>
      </c>
      <c r="E14" s="3">
        <v>5000</v>
      </c>
      <c r="F14" s="3">
        <v>5000</v>
      </c>
      <c r="G14" s="3">
        <v>5000</v>
      </c>
      <c r="H14" s="3">
        <v>5000</v>
      </c>
      <c r="I14" s="3">
        <v>5000</v>
      </c>
      <c r="J14" s="6">
        <v>5000</v>
      </c>
      <c r="K14" s="6">
        <v>5000</v>
      </c>
      <c r="L14" s="6">
        <v>5000</v>
      </c>
      <c r="M14" s="6">
        <v>5000</v>
      </c>
      <c r="N14" s="6">
        <v>5000</v>
      </c>
      <c r="O14" s="6">
        <v>5000</v>
      </c>
      <c r="P14" s="6">
        <v>5000</v>
      </c>
      <c r="Q14" s="18">
        <f>COUNT(Table5[[#This Row],[May''25]:[April''26]])</f>
        <v>12</v>
      </c>
      <c r="R14" s="38">
        <f t="shared" si="0"/>
        <v>60000</v>
      </c>
    </row>
    <row r="15" spans="1:18" ht="15" x14ac:dyDescent="0.25">
      <c r="A15" s="13" t="s">
        <v>80</v>
      </c>
      <c r="B15" s="21">
        <v>202504012</v>
      </c>
      <c r="C15" s="17">
        <v>2</v>
      </c>
      <c r="D15" s="17">
        <v>2000</v>
      </c>
      <c r="E15" s="3">
        <v>1000</v>
      </c>
      <c r="F15" s="3">
        <v>1000</v>
      </c>
      <c r="G15" s="3">
        <v>1000</v>
      </c>
      <c r="H15" s="3">
        <v>1000</v>
      </c>
      <c r="I15" s="3">
        <v>1000</v>
      </c>
      <c r="J15" s="6">
        <v>1000</v>
      </c>
      <c r="K15" s="6">
        <v>1000</v>
      </c>
      <c r="L15" s="6">
        <v>1000</v>
      </c>
      <c r="M15" s="6">
        <v>1000</v>
      </c>
      <c r="N15" s="6">
        <v>1000</v>
      </c>
      <c r="O15" s="6">
        <v>1000</v>
      </c>
      <c r="P15" s="6">
        <v>13000</v>
      </c>
      <c r="Q15" s="18">
        <f>COUNT(Table5[[#This Row],[May''25]:[April''26]])</f>
        <v>12</v>
      </c>
      <c r="R15" s="38">
        <f t="shared" si="0"/>
        <v>24000</v>
      </c>
    </row>
    <row r="16" spans="1:18" ht="15" x14ac:dyDescent="0.25">
      <c r="A16" s="13" t="s">
        <v>81</v>
      </c>
      <c r="B16" s="21">
        <v>202504013</v>
      </c>
      <c r="C16" s="17">
        <v>2</v>
      </c>
      <c r="D16" s="17">
        <v>2000</v>
      </c>
      <c r="E16" s="3">
        <v>2000</v>
      </c>
      <c r="F16" s="3">
        <v>2000</v>
      </c>
      <c r="G16" s="3">
        <v>2000</v>
      </c>
      <c r="H16" s="3">
        <v>2000</v>
      </c>
      <c r="I16" s="3">
        <v>2000</v>
      </c>
      <c r="J16" s="6">
        <v>2000</v>
      </c>
      <c r="K16" s="6">
        <v>2000</v>
      </c>
      <c r="L16" s="6">
        <v>2000</v>
      </c>
      <c r="M16" s="6">
        <v>2000</v>
      </c>
      <c r="N16" s="6">
        <v>2000</v>
      </c>
      <c r="O16" s="6">
        <v>2000</v>
      </c>
      <c r="P16" s="6">
        <v>2000</v>
      </c>
      <c r="Q16" s="18">
        <f>COUNT(Table5[[#This Row],[May''25]:[April''26]])</f>
        <v>12</v>
      </c>
      <c r="R16" s="38">
        <f t="shared" si="0"/>
        <v>24000</v>
      </c>
    </row>
    <row r="17" spans="1:18" ht="15" x14ac:dyDescent="0.25">
      <c r="A17" s="14" t="s">
        <v>74</v>
      </c>
      <c r="B17" s="21">
        <v>202504014</v>
      </c>
      <c r="C17" s="17">
        <v>2</v>
      </c>
      <c r="D17" s="17">
        <v>2000</v>
      </c>
      <c r="E17" s="3">
        <v>2000</v>
      </c>
      <c r="F17" s="3">
        <v>2000</v>
      </c>
      <c r="G17" s="3">
        <v>2000</v>
      </c>
      <c r="H17" s="3">
        <v>2000</v>
      </c>
      <c r="I17" s="3">
        <v>2000</v>
      </c>
      <c r="J17" s="6">
        <v>2000</v>
      </c>
      <c r="K17" s="6">
        <v>2000</v>
      </c>
      <c r="L17" s="6">
        <v>2000</v>
      </c>
      <c r="M17" s="6">
        <v>2000</v>
      </c>
      <c r="N17" s="6">
        <v>2000</v>
      </c>
      <c r="O17" s="6">
        <v>2000</v>
      </c>
      <c r="P17" s="6">
        <v>2000</v>
      </c>
      <c r="Q17" s="18">
        <f>COUNT(Table5[[#This Row],[May''25]:[April''26]])</f>
        <v>12</v>
      </c>
      <c r="R17" s="38">
        <f t="shared" si="0"/>
        <v>24000</v>
      </c>
    </row>
    <row r="18" spans="1:18" ht="15" x14ac:dyDescent="0.25">
      <c r="A18" s="13" t="s">
        <v>96</v>
      </c>
      <c r="B18" s="21">
        <v>202504015</v>
      </c>
      <c r="C18" s="17">
        <v>1</v>
      </c>
      <c r="D18" s="17">
        <v>1000</v>
      </c>
      <c r="E18" s="3">
        <v>1000</v>
      </c>
      <c r="F18" s="3">
        <v>1000</v>
      </c>
      <c r="G18" s="3">
        <v>1000</v>
      </c>
      <c r="H18" s="3">
        <v>1000</v>
      </c>
      <c r="I18" s="3">
        <v>1000</v>
      </c>
      <c r="J18" s="6">
        <v>1000</v>
      </c>
      <c r="K18" s="6">
        <v>1000</v>
      </c>
      <c r="L18" s="6">
        <v>1000</v>
      </c>
      <c r="M18" s="6">
        <v>1000</v>
      </c>
      <c r="N18" s="6">
        <v>1000</v>
      </c>
      <c r="O18" s="6">
        <v>1000</v>
      </c>
      <c r="P18" s="6">
        <v>1000</v>
      </c>
      <c r="Q18" s="18">
        <f>COUNT(Table5[[#This Row],[May''25]:[April''26]])</f>
        <v>12</v>
      </c>
      <c r="R18" s="38">
        <f t="shared" si="0"/>
        <v>12000</v>
      </c>
    </row>
    <row r="19" spans="1:18" ht="15" x14ac:dyDescent="0.25">
      <c r="A19" s="14" t="s">
        <v>120</v>
      </c>
      <c r="B19" s="21">
        <v>202504016</v>
      </c>
      <c r="C19" s="17">
        <v>2</v>
      </c>
      <c r="D19" s="17">
        <v>2000</v>
      </c>
      <c r="E19" s="3">
        <v>0</v>
      </c>
      <c r="F19" s="3">
        <v>0</v>
      </c>
      <c r="G19" s="3">
        <v>0</v>
      </c>
      <c r="H19" s="3">
        <v>0</v>
      </c>
      <c r="I19" s="61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24000</v>
      </c>
      <c r="Q19" s="18">
        <f>COUNT(Table5[[#This Row],[May''25]:[April''26]])</f>
        <v>12</v>
      </c>
      <c r="R19" s="38">
        <f t="shared" si="0"/>
        <v>24000</v>
      </c>
    </row>
    <row r="20" spans="1:18" ht="15" x14ac:dyDescent="0.25">
      <c r="A20" s="13"/>
      <c r="B20" s="21">
        <v>202504017</v>
      </c>
      <c r="C20" s="17"/>
      <c r="D20" s="17"/>
      <c r="E20" s="61"/>
      <c r="F20" s="61"/>
      <c r="G20" s="61"/>
      <c r="H20" s="61"/>
      <c r="I20" s="61"/>
      <c r="J20" s="6"/>
      <c r="K20" s="6"/>
      <c r="L20" s="6"/>
      <c r="M20" s="6"/>
      <c r="N20" s="6"/>
      <c r="O20" s="6"/>
      <c r="P20" s="6"/>
      <c r="Q20" s="18">
        <f>COUNT(Table5[[#This Row],[May''25]:[April''26]])</f>
        <v>0</v>
      </c>
      <c r="R20" s="38">
        <f t="shared" si="0"/>
        <v>0</v>
      </c>
    </row>
    <row r="21" spans="1:18" ht="15" x14ac:dyDescent="0.25">
      <c r="A21" s="13" t="s">
        <v>118</v>
      </c>
      <c r="B21" s="21">
        <v>202504018</v>
      </c>
      <c r="C21" s="17">
        <v>2</v>
      </c>
      <c r="D21" s="17">
        <v>2000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6">
        <v>22000</v>
      </c>
      <c r="P21" s="6">
        <v>2000</v>
      </c>
      <c r="Q21" s="18">
        <f>COUNT(Table5[[#This Row],[May''25]:[April''26]])</f>
        <v>12</v>
      </c>
      <c r="R21" s="38">
        <f t="shared" si="0"/>
        <v>24000</v>
      </c>
    </row>
    <row r="22" spans="1:18" ht="15" x14ac:dyDescent="0.25">
      <c r="A22" s="14" t="s">
        <v>4</v>
      </c>
      <c r="B22" s="21">
        <v>202504019</v>
      </c>
      <c r="C22" s="17">
        <v>2</v>
      </c>
      <c r="D22" s="17">
        <v>2000</v>
      </c>
      <c r="E22" s="3">
        <v>2000</v>
      </c>
      <c r="F22" s="3">
        <v>2000</v>
      </c>
      <c r="G22" s="3">
        <v>2000</v>
      </c>
      <c r="H22" s="3">
        <v>2000</v>
      </c>
      <c r="I22" s="3">
        <v>2000</v>
      </c>
      <c r="J22" s="3">
        <v>2000</v>
      </c>
      <c r="K22" s="3">
        <v>2000</v>
      </c>
      <c r="L22" s="3">
        <v>2000</v>
      </c>
      <c r="M22" s="74">
        <v>0</v>
      </c>
      <c r="N22" s="6">
        <v>4000</v>
      </c>
      <c r="O22" s="6">
        <v>2000</v>
      </c>
      <c r="P22" s="6">
        <v>2000</v>
      </c>
      <c r="Q22" s="18">
        <f>COUNT(Table5[[#This Row],[May''25]:[April''26]])</f>
        <v>12</v>
      </c>
      <c r="R22" s="38">
        <f t="shared" si="0"/>
        <v>24000</v>
      </c>
    </row>
    <row r="23" spans="1:18" x14ac:dyDescent="0.35">
      <c r="A23" s="13" t="s">
        <v>121</v>
      </c>
      <c r="B23" s="21">
        <v>202504020</v>
      </c>
      <c r="C23" s="17">
        <v>2</v>
      </c>
      <c r="D23" s="17">
        <v>2000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6">
        <v>22000</v>
      </c>
      <c r="P23" s="6">
        <v>2000</v>
      </c>
      <c r="Q23" s="18">
        <f>COUNT(Table5[[#This Row],[May''25]:[April''26]])</f>
        <v>12</v>
      </c>
      <c r="R23" s="38">
        <f t="shared" si="0"/>
        <v>24000</v>
      </c>
    </row>
    <row r="24" spans="1:18" x14ac:dyDescent="0.35">
      <c r="A24" s="13" t="s">
        <v>69</v>
      </c>
      <c r="B24" s="21">
        <v>202504021</v>
      </c>
      <c r="C24" s="17">
        <v>1</v>
      </c>
      <c r="D24" s="17">
        <v>1000</v>
      </c>
      <c r="E24" s="4">
        <v>1000</v>
      </c>
      <c r="F24" s="4">
        <v>1000</v>
      </c>
      <c r="G24" s="4">
        <v>1000</v>
      </c>
      <c r="H24" s="4">
        <v>1000</v>
      </c>
      <c r="I24" s="4">
        <v>1000</v>
      </c>
      <c r="J24" s="6">
        <v>1000</v>
      </c>
      <c r="K24" s="6">
        <v>1000</v>
      </c>
      <c r="L24" s="6">
        <v>1000</v>
      </c>
      <c r="M24" s="6">
        <v>1000</v>
      </c>
      <c r="N24" s="6">
        <v>1000</v>
      </c>
      <c r="O24" s="6">
        <v>1000</v>
      </c>
      <c r="P24" s="6">
        <v>1000</v>
      </c>
      <c r="Q24" s="18">
        <f>COUNT(Table5[[#This Row],[May''25]:[April''26]])</f>
        <v>12</v>
      </c>
      <c r="R24" s="38">
        <f t="shared" si="0"/>
        <v>12000</v>
      </c>
    </row>
    <row r="25" spans="1:18" x14ac:dyDescent="0.35">
      <c r="A25" s="13" t="s">
        <v>78</v>
      </c>
      <c r="B25" s="21">
        <v>202504022</v>
      </c>
      <c r="C25" s="17">
        <v>1</v>
      </c>
      <c r="D25" s="17">
        <v>1000</v>
      </c>
      <c r="E25" s="20">
        <v>1000</v>
      </c>
      <c r="F25" s="20">
        <v>1000</v>
      </c>
      <c r="G25" s="20">
        <v>1000</v>
      </c>
      <c r="H25" s="20">
        <v>1000</v>
      </c>
      <c r="I25" s="20">
        <v>1000</v>
      </c>
      <c r="J25" s="20">
        <v>1000</v>
      </c>
      <c r="K25" s="20">
        <v>1000</v>
      </c>
      <c r="L25" s="20">
        <v>1000</v>
      </c>
      <c r="M25" s="20">
        <v>1000</v>
      </c>
      <c r="N25" s="20">
        <v>1000</v>
      </c>
      <c r="O25" s="20">
        <v>1000</v>
      </c>
      <c r="P25" s="20">
        <v>1000</v>
      </c>
      <c r="Q25" s="18">
        <f>COUNT(Table5[[#This Row],[May''25]:[April''26]])</f>
        <v>12</v>
      </c>
      <c r="R25" s="38">
        <f t="shared" si="0"/>
        <v>12000</v>
      </c>
    </row>
    <row r="26" spans="1:18" x14ac:dyDescent="0.35">
      <c r="A26" s="13" t="s">
        <v>70</v>
      </c>
      <c r="B26" s="21">
        <v>202504023</v>
      </c>
      <c r="C26" s="17">
        <v>1</v>
      </c>
      <c r="D26" s="17">
        <v>1000</v>
      </c>
      <c r="E26" s="20">
        <v>1000</v>
      </c>
      <c r="F26" s="20">
        <v>1000</v>
      </c>
      <c r="G26" s="20">
        <v>1000</v>
      </c>
      <c r="H26" s="20">
        <v>1000</v>
      </c>
      <c r="I26" s="20">
        <v>1000</v>
      </c>
      <c r="J26" s="20">
        <v>1000</v>
      </c>
      <c r="K26" s="20">
        <v>1000</v>
      </c>
      <c r="L26" s="20">
        <v>1000</v>
      </c>
      <c r="M26" s="20">
        <v>1000</v>
      </c>
      <c r="N26" s="20">
        <v>1000</v>
      </c>
      <c r="O26" s="20">
        <v>1000</v>
      </c>
      <c r="P26" s="20">
        <v>1000</v>
      </c>
      <c r="Q26" s="18">
        <f>COUNT(Table5[[#This Row],[May''25]:[April''26]])</f>
        <v>12</v>
      </c>
      <c r="R26" s="38">
        <f t="shared" si="0"/>
        <v>12000</v>
      </c>
    </row>
    <row r="27" spans="1:18" x14ac:dyDescent="0.35">
      <c r="A27" s="13" t="s">
        <v>2</v>
      </c>
      <c r="B27" s="21">
        <v>202504024</v>
      </c>
      <c r="C27" s="17">
        <v>1</v>
      </c>
      <c r="D27" s="17">
        <v>1000</v>
      </c>
      <c r="E27" s="20">
        <v>1000</v>
      </c>
      <c r="F27" s="20">
        <v>1000</v>
      </c>
      <c r="G27" s="20">
        <v>1000</v>
      </c>
      <c r="H27" s="20">
        <v>1000</v>
      </c>
      <c r="I27" s="20">
        <v>1000</v>
      </c>
      <c r="J27" s="20">
        <v>1000</v>
      </c>
      <c r="K27" s="20">
        <v>1000</v>
      </c>
      <c r="L27" s="20">
        <v>1000</v>
      </c>
      <c r="M27" s="20">
        <v>1000</v>
      </c>
      <c r="N27" s="20">
        <v>1000</v>
      </c>
      <c r="O27" s="20">
        <v>1000</v>
      </c>
      <c r="P27" s="20">
        <v>1000</v>
      </c>
      <c r="Q27" s="18">
        <f>COUNT(Table5[[#This Row],[May''25]:[April''26]])</f>
        <v>12</v>
      </c>
      <c r="R27" s="38">
        <f t="shared" si="0"/>
        <v>12000</v>
      </c>
    </row>
    <row r="28" spans="1:18" x14ac:dyDescent="0.35">
      <c r="A28" s="13" t="s">
        <v>1</v>
      </c>
      <c r="B28" s="21">
        <v>202504025</v>
      </c>
      <c r="C28" s="17">
        <v>1</v>
      </c>
      <c r="D28" s="17">
        <v>1000</v>
      </c>
      <c r="E28" s="20">
        <v>1000</v>
      </c>
      <c r="F28" s="20">
        <v>1000</v>
      </c>
      <c r="G28" s="20">
        <v>1000</v>
      </c>
      <c r="H28" s="20">
        <v>1000</v>
      </c>
      <c r="I28" s="20">
        <v>1000</v>
      </c>
      <c r="J28" s="20">
        <v>1000</v>
      </c>
      <c r="K28" s="20">
        <v>1000</v>
      </c>
      <c r="L28" s="20">
        <v>1000</v>
      </c>
      <c r="M28" s="20">
        <v>1000</v>
      </c>
      <c r="N28" s="20">
        <v>1000</v>
      </c>
      <c r="O28" s="20">
        <v>1000</v>
      </c>
      <c r="P28" s="20">
        <v>1000</v>
      </c>
      <c r="Q28" s="18">
        <f>COUNT(Table5[[#This Row],[May''25]:[April''26]])</f>
        <v>12</v>
      </c>
      <c r="R28" s="38">
        <f t="shared" si="0"/>
        <v>12000</v>
      </c>
    </row>
    <row r="29" spans="1:18" x14ac:dyDescent="0.35">
      <c r="A29" s="13" t="s">
        <v>3</v>
      </c>
      <c r="B29" s="21">
        <v>202504026</v>
      </c>
      <c r="C29" s="17">
        <v>1</v>
      </c>
      <c r="D29" s="17">
        <v>1000</v>
      </c>
      <c r="E29" s="20">
        <v>1000</v>
      </c>
      <c r="F29" s="20">
        <v>1000</v>
      </c>
      <c r="G29" s="20">
        <v>1000</v>
      </c>
      <c r="H29" s="20">
        <v>1000</v>
      </c>
      <c r="I29" s="20">
        <v>1000</v>
      </c>
      <c r="J29" s="20">
        <v>1000</v>
      </c>
      <c r="K29" s="20">
        <v>1000</v>
      </c>
      <c r="L29" s="20">
        <v>1000</v>
      </c>
      <c r="M29" s="20">
        <v>1000</v>
      </c>
      <c r="N29" s="20">
        <v>1000</v>
      </c>
      <c r="O29" s="20">
        <v>1000</v>
      </c>
      <c r="P29" s="20">
        <v>1000</v>
      </c>
      <c r="Q29" s="18">
        <f>COUNT(Table5[[#This Row],[May''25]:[April''26]])</f>
        <v>12</v>
      </c>
      <c r="R29" s="38">
        <f t="shared" si="0"/>
        <v>12000</v>
      </c>
    </row>
    <row r="30" spans="1:18" x14ac:dyDescent="0.35">
      <c r="A30" s="13" t="s">
        <v>9</v>
      </c>
      <c r="B30" s="21">
        <v>202504027</v>
      </c>
      <c r="C30" s="17">
        <v>5</v>
      </c>
      <c r="D30" s="17">
        <v>5000</v>
      </c>
      <c r="E30" s="20">
        <v>5000</v>
      </c>
      <c r="F30" s="20">
        <v>5000</v>
      </c>
      <c r="G30" s="20">
        <v>5000</v>
      </c>
      <c r="H30" s="20">
        <v>5000</v>
      </c>
      <c r="I30" s="20">
        <v>5000</v>
      </c>
      <c r="J30" s="20">
        <v>5000</v>
      </c>
      <c r="K30" s="20">
        <v>5000</v>
      </c>
      <c r="L30" s="20">
        <v>5000</v>
      </c>
      <c r="M30" s="74">
        <v>0</v>
      </c>
      <c r="N30" s="20">
        <v>10000</v>
      </c>
      <c r="O30" s="20">
        <v>5000</v>
      </c>
      <c r="P30" s="20">
        <v>5000</v>
      </c>
      <c r="Q30" s="18">
        <f>COUNT(Table5[[#This Row],[May''25]:[April''26]])</f>
        <v>12</v>
      </c>
      <c r="R30" s="38">
        <f t="shared" si="0"/>
        <v>60000</v>
      </c>
    </row>
    <row r="31" spans="1:18" x14ac:dyDescent="0.35">
      <c r="A31" s="13" t="s">
        <v>8</v>
      </c>
      <c r="B31" s="21">
        <v>202504028</v>
      </c>
      <c r="C31" s="17">
        <v>3</v>
      </c>
      <c r="D31" s="17">
        <v>3000</v>
      </c>
      <c r="E31" s="20">
        <v>3000</v>
      </c>
      <c r="F31" s="20">
        <v>3000</v>
      </c>
      <c r="G31" s="20">
        <v>3000</v>
      </c>
      <c r="H31" s="20">
        <v>3000</v>
      </c>
      <c r="I31" s="20">
        <v>3000</v>
      </c>
      <c r="J31" s="20">
        <v>3000</v>
      </c>
      <c r="K31" s="20">
        <v>3000</v>
      </c>
      <c r="L31" s="20">
        <v>3000</v>
      </c>
      <c r="M31" s="74">
        <v>0</v>
      </c>
      <c r="N31" s="20">
        <v>6000</v>
      </c>
      <c r="O31" s="20">
        <v>3000</v>
      </c>
      <c r="P31" s="20">
        <v>3000</v>
      </c>
      <c r="Q31" s="18">
        <f>COUNT(Table5[[#This Row],[May''25]:[April''26]])</f>
        <v>12</v>
      </c>
      <c r="R31" s="38">
        <f t="shared" si="0"/>
        <v>36000</v>
      </c>
    </row>
    <row r="32" spans="1:18" x14ac:dyDescent="0.35">
      <c r="A32" s="13" t="s">
        <v>7</v>
      </c>
      <c r="B32" s="21">
        <v>202504029</v>
      </c>
      <c r="C32" s="17">
        <v>2</v>
      </c>
      <c r="D32" s="17">
        <v>2000</v>
      </c>
      <c r="E32" s="20">
        <v>2000</v>
      </c>
      <c r="F32" s="20">
        <v>2000</v>
      </c>
      <c r="G32" s="20">
        <v>2000</v>
      </c>
      <c r="H32" s="20">
        <v>2000</v>
      </c>
      <c r="I32" s="20">
        <v>2000</v>
      </c>
      <c r="J32" s="20">
        <v>2000</v>
      </c>
      <c r="K32" s="20">
        <v>2000</v>
      </c>
      <c r="L32" s="20">
        <v>2000</v>
      </c>
      <c r="M32" s="74">
        <v>0</v>
      </c>
      <c r="N32" s="20">
        <v>4000</v>
      </c>
      <c r="O32" s="20">
        <v>2000</v>
      </c>
      <c r="P32" s="20">
        <v>2000</v>
      </c>
      <c r="Q32" s="18">
        <f>COUNT(Table5[[#This Row],[May''25]:[April''26]])</f>
        <v>12</v>
      </c>
      <c r="R32" s="38">
        <f t="shared" si="0"/>
        <v>24000</v>
      </c>
    </row>
    <row r="33" spans="1:18" x14ac:dyDescent="0.35">
      <c r="A33" s="13" t="s">
        <v>12</v>
      </c>
      <c r="B33" s="21">
        <v>202504030</v>
      </c>
      <c r="C33" s="17">
        <v>3</v>
      </c>
      <c r="D33" s="17">
        <v>3000</v>
      </c>
      <c r="E33" s="20">
        <v>3000</v>
      </c>
      <c r="F33" s="20">
        <v>3000</v>
      </c>
      <c r="G33" s="20">
        <v>3000</v>
      </c>
      <c r="H33" s="20">
        <v>3000</v>
      </c>
      <c r="I33" s="20">
        <v>3000</v>
      </c>
      <c r="J33" s="20">
        <v>3000</v>
      </c>
      <c r="K33" s="20">
        <v>3000</v>
      </c>
      <c r="L33" s="20">
        <v>3000</v>
      </c>
      <c r="M33" s="20">
        <v>3000</v>
      </c>
      <c r="N33" s="20">
        <v>3000</v>
      </c>
      <c r="O33" s="20">
        <v>3000</v>
      </c>
      <c r="P33" s="20">
        <v>3000</v>
      </c>
      <c r="Q33" s="18">
        <f>COUNT(Table5[[#This Row],[May''25]:[April''26]])</f>
        <v>12</v>
      </c>
      <c r="R33" s="38">
        <f t="shared" si="0"/>
        <v>36000</v>
      </c>
    </row>
    <row r="34" spans="1:18" x14ac:dyDescent="0.35">
      <c r="A34" s="13" t="s">
        <v>11</v>
      </c>
      <c r="B34" s="21">
        <v>202504031</v>
      </c>
      <c r="C34" s="17">
        <v>1</v>
      </c>
      <c r="D34" s="17">
        <v>1000</v>
      </c>
      <c r="E34" s="20">
        <v>1000</v>
      </c>
      <c r="F34" s="20">
        <v>1000</v>
      </c>
      <c r="G34" s="20">
        <v>1000</v>
      </c>
      <c r="H34" s="20">
        <v>1000</v>
      </c>
      <c r="I34" s="20">
        <v>1000</v>
      </c>
      <c r="J34" s="20">
        <v>1000</v>
      </c>
      <c r="K34" s="20">
        <v>1000</v>
      </c>
      <c r="L34" s="20">
        <v>1000</v>
      </c>
      <c r="M34" s="20">
        <v>1000</v>
      </c>
      <c r="N34" s="20">
        <v>1000</v>
      </c>
      <c r="O34" s="20">
        <v>1000</v>
      </c>
      <c r="P34" s="20">
        <v>1000</v>
      </c>
      <c r="Q34" s="18">
        <f>COUNT(Table5[[#This Row],[May''25]:[April''26]])</f>
        <v>12</v>
      </c>
      <c r="R34" s="38">
        <f t="shared" si="0"/>
        <v>12000</v>
      </c>
    </row>
    <row r="35" spans="1:18" x14ac:dyDescent="0.35">
      <c r="A35" s="13" t="s">
        <v>13</v>
      </c>
      <c r="B35" s="21">
        <v>202504032</v>
      </c>
      <c r="C35" s="17">
        <v>1</v>
      </c>
      <c r="D35" s="17">
        <v>1000</v>
      </c>
      <c r="E35" s="20">
        <v>1000</v>
      </c>
      <c r="F35" s="20">
        <v>1000</v>
      </c>
      <c r="G35" s="20">
        <v>1000</v>
      </c>
      <c r="H35" s="20">
        <v>1000</v>
      </c>
      <c r="I35" s="20">
        <v>1000</v>
      </c>
      <c r="J35" s="20">
        <v>1000</v>
      </c>
      <c r="K35" s="20">
        <v>2000</v>
      </c>
      <c r="L35" s="20">
        <v>0</v>
      </c>
      <c r="M35" s="6">
        <v>1000</v>
      </c>
      <c r="N35" s="6">
        <v>1000</v>
      </c>
      <c r="O35" s="6">
        <v>1000</v>
      </c>
      <c r="P35" s="6">
        <v>1000</v>
      </c>
      <c r="Q35" s="18">
        <f>COUNT(Table5[[#This Row],[May''25]:[April''26]])</f>
        <v>12</v>
      </c>
      <c r="R35" s="38">
        <f t="shared" si="0"/>
        <v>12000</v>
      </c>
    </row>
    <row r="36" spans="1:18" x14ac:dyDescent="0.35">
      <c r="A36" s="13" t="s">
        <v>45</v>
      </c>
      <c r="B36" s="21">
        <v>202504033</v>
      </c>
      <c r="C36" s="17">
        <v>1</v>
      </c>
      <c r="D36" s="17">
        <v>1000</v>
      </c>
      <c r="E36" s="20">
        <v>1000</v>
      </c>
      <c r="F36" s="20">
        <v>1000</v>
      </c>
      <c r="G36" s="20">
        <v>1000</v>
      </c>
      <c r="H36" s="20">
        <v>1000</v>
      </c>
      <c r="I36" s="20">
        <v>1000</v>
      </c>
      <c r="J36" s="20">
        <v>1000</v>
      </c>
      <c r="K36" s="20">
        <v>1000</v>
      </c>
      <c r="L36" s="20">
        <v>1000</v>
      </c>
      <c r="M36" s="20">
        <v>1000</v>
      </c>
      <c r="N36" s="20">
        <v>1000</v>
      </c>
      <c r="O36" s="20">
        <v>1000</v>
      </c>
      <c r="P36" s="20">
        <v>1000</v>
      </c>
      <c r="Q36" s="18">
        <f>COUNT(Table5[[#This Row],[May''25]:[April''26]])</f>
        <v>12</v>
      </c>
      <c r="R36" s="38">
        <f t="shared" si="0"/>
        <v>12000</v>
      </c>
    </row>
    <row r="37" spans="1:18" x14ac:dyDescent="0.35">
      <c r="A37" s="13" t="s">
        <v>46</v>
      </c>
      <c r="B37" s="21">
        <v>202504034</v>
      </c>
      <c r="C37" s="17">
        <v>1</v>
      </c>
      <c r="D37" s="17">
        <v>1000</v>
      </c>
      <c r="E37" s="20">
        <v>1000</v>
      </c>
      <c r="F37" s="20">
        <v>1000</v>
      </c>
      <c r="G37" s="20">
        <v>1000</v>
      </c>
      <c r="H37" s="20">
        <v>1000</v>
      </c>
      <c r="I37" s="20">
        <v>1000</v>
      </c>
      <c r="J37" s="20">
        <v>1000</v>
      </c>
      <c r="K37" s="20">
        <v>1000</v>
      </c>
      <c r="L37" s="20">
        <v>1000</v>
      </c>
      <c r="M37" s="20">
        <v>1000</v>
      </c>
      <c r="N37" s="20">
        <v>1000</v>
      </c>
      <c r="O37" s="20">
        <v>1000</v>
      </c>
      <c r="P37" s="20">
        <v>1000</v>
      </c>
      <c r="Q37" s="18">
        <f>COUNT(Table5[[#This Row],[May''25]:[April''26]])</f>
        <v>12</v>
      </c>
      <c r="R37" s="38">
        <f t="shared" si="0"/>
        <v>12000</v>
      </c>
    </row>
    <row r="38" spans="1:18" x14ac:dyDescent="0.35">
      <c r="A38" s="13" t="s">
        <v>89</v>
      </c>
      <c r="B38" s="21">
        <v>202504035</v>
      </c>
      <c r="C38" s="17">
        <v>1</v>
      </c>
      <c r="D38" s="17">
        <v>1000</v>
      </c>
      <c r="E38" s="20">
        <v>1000</v>
      </c>
      <c r="F38" s="20">
        <v>1000</v>
      </c>
      <c r="G38" s="20">
        <v>1000</v>
      </c>
      <c r="H38" s="20">
        <v>1000</v>
      </c>
      <c r="I38" s="20">
        <v>1000</v>
      </c>
      <c r="J38" s="20">
        <v>1000</v>
      </c>
      <c r="K38" s="20">
        <v>1000</v>
      </c>
      <c r="L38" s="20">
        <v>1000</v>
      </c>
      <c r="M38" s="20">
        <v>1000</v>
      </c>
      <c r="N38" s="20">
        <v>1000</v>
      </c>
      <c r="O38" s="20">
        <v>1000</v>
      </c>
      <c r="P38" s="20">
        <v>1000</v>
      </c>
      <c r="Q38" s="18">
        <f>COUNT(Table5[[#This Row],[May''25]:[April''26]])</f>
        <v>12</v>
      </c>
      <c r="R38" s="38">
        <f t="shared" si="0"/>
        <v>12000</v>
      </c>
    </row>
    <row r="39" spans="1:18" x14ac:dyDescent="0.35">
      <c r="A39" s="13" t="s">
        <v>7</v>
      </c>
      <c r="B39" s="21">
        <v>202504036</v>
      </c>
      <c r="C39" s="17">
        <v>1</v>
      </c>
      <c r="D39" s="17">
        <v>1000</v>
      </c>
      <c r="E39" s="20">
        <v>1000</v>
      </c>
      <c r="F39" s="20">
        <v>1000</v>
      </c>
      <c r="G39" s="20">
        <v>1000</v>
      </c>
      <c r="H39" s="20">
        <v>1000</v>
      </c>
      <c r="I39" s="20">
        <v>1000</v>
      </c>
      <c r="J39" s="20">
        <v>1000</v>
      </c>
      <c r="K39" s="20">
        <v>1000</v>
      </c>
      <c r="L39" s="20">
        <v>1000</v>
      </c>
      <c r="M39" s="20">
        <v>1000</v>
      </c>
      <c r="N39" s="20">
        <v>1000</v>
      </c>
      <c r="O39" s="20">
        <v>1000</v>
      </c>
      <c r="P39" s="20">
        <v>1000</v>
      </c>
      <c r="Q39" s="18">
        <f>COUNT(Table5[[#This Row],[May''25]:[April''26]])</f>
        <v>12</v>
      </c>
      <c r="R39" s="38">
        <f t="shared" si="0"/>
        <v>12000</v>
      </c>
    </row>
    <row r="40" spans="1:18" x14ac:dyDescent="0.35">
      <c r="A40" s="13" t="s">
        <v>90</v>
      </c>
      <c r="B40" s="21">
        <v>202504037</v>
      </c>
      <c r="C40" s="17">
        <v>1</v>
      </c>
      <c r="D40" s="17">
        <v>1000</v>
      </c>
      <c r="E40" s="20">
        <v>1000</v>
      </c>
      <c r="F40" s="20">
        <v>1000</v>
      </c>
      <c r="G40" s="20">
        <v>1000</v>
      </c>
      <c r="H40" s="20">
        <v>1000</v>
      </c>
      <c r="I40" s="20">
        <v>1000</v>
      </c>
      <c r="J40" s="20">
        <v>1000</v>
      </c>
      <c r="K40" s="20">
        <v>1000</v>
      </c>
      <c r="L40" s="20">
        <v>1000</v>
      </c>
      <c r="M40" s="20">
        <v>1000</v>
      </c>
      <c r="N40" s="20">
        <v>1000</v>
      </c>
      <c r="O40" s="20">
        <v>1000</v>
      </c>
      <c r="P40" s="20">
        <v>1000</v>
      </c>
      <c r="Q40" s="18">
        <f>COUNT(Table5[[#This Row],[May''25]:[April''26]])</f>
        <v>12</v>
      </c>
      <c r="R40" s="38">
        <f t="shared" si="0"/>
        <v>12000</v>
      </c>
    </row>
    <row r="41" spans="1:18" x14ac:dyDescent="0.35">
      <c r="A41" s="13" t="s">
        <v>84</v>
      </c>
      <c r="B41" s="21">
        <v>202504038</v>
      </c>
      <c r="C41" s="17">
        <v>1</v>
      </c>
      <c r="D41" s="17">
        <v>1000</v>
      </c>
      <c r="E41" s="20">
        <v>1000</v>
      </c>
      <c r="F41" s="20">
        <v>1000</v>
      </c>
      <c r="G41" s="20">
        <v>1000</v>
      </c>
      <c r="H41" s="20">
        <v>1000</v>
      </c>
      <c r="I41" s="20">
        <v>1000</v>
      </c>
      <c r="J41" s="20">
        <v>1000</v>
      </c>
      <c r="K41" s="20">
        <v>1000</v>
      </c>
      <c r="L41" s="20">
        <v>1000</v>
      </c>
      <c r="M41" s="20">
        <v>1000</v>
      </c>
      <c r="N41" s="20">
        <v>1000</v>
      </c>
      <c r="O41" s="20">
        <v>1000</v>
      </c>
      <c r="P41" s="20">
        <v>1000</v>
      </c>
      <c r="Q41" s="18">
        <f>COUNT(Table5[[#This Row],[May''25]:[April''26]])</f>
        <v>12</v>
      </c>
      <c r="R41" s="38">
        <f t="shared" si="0"/>
        <v>12000</v>
      </c>
    </row>
    <row r="42" spans="1:18" x14ac:dyDescent="0.35">
      <c r="A42" s="13" t="s">
        <v>71</v>
      </c>
      <c r="B42" s="21">
        <v>202504039</v>
      </c>
      <c r="C42" s="17">
        <v>3</v>
      </c>
      <c r="D42" s="17">
        <v>3000</v>
      </c>
      <c r="E42" s="20">
        <v>3000</v>
      </c>
      <c r="F42" s="20">
        <v>3000</v>
      </c>
      <c r="G42" s="20">
        <v>3000</v>
      </c>
      <c r="H42" s="20">
        <v>3000</v>
      </c>
      <c r="I42" s="20">
        <v>3000</v>
      </c>
      <c r="J42" s="20">
        <v>3000</v>
      </c>
      <c r="K42" s="20">
        <v>3000</v>
      </c>
      <c r="L42" s="20">
        <v>3000</v>
      </c>
      <c r="M42" s="20">
        <v>3000</v>
      </c>
      <c r="N42" s="20">
        <v>3000</v>
      </c>
      <c r="O42" s="20">
        <v>3000</v>
      </c>
      <c r="P42" s="20">
        <v>3000</v>
      </c>
      <c r="Q42" s="18">
        <f>COUNT(Table5[[#This Row],[May''25]:[April''26]])</f>
        <v>12</v>
      </c>
      <c r="R42" s="38">
        <f t="shared" si="0"/>
        <v>36000</v>
      </c>
    </row>
    <row r="43" spans="1:18" x14ac:dyDescent="0.35">
      <c r="A43" s="13" t="s">
        <v>72</v>
      </c>
      <c r="B43" s="21">
        <v>202504040</v>
      </c>
      <c r="C43" s="17">
        <v>2</v>
      </c>
      <c r="D43" s="17">
        <v>2000</v>
      </c>
      <c r="E43" s="20">
        <v>2000</v>
      </c>
      <c r="F43" s="20">
        <v>2000</v>
      </c>
      <c r="G43" s="20">
        <v>20000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6">
        <v>0</v>
      </c>
      <c r="N43" s="20">
        <v>0</v>
      </c>
      <c r="O43" s="20">
        <v>0</v>
      </c>
      <c r="P43" s="20">
        <v>0</v>
      </c>
      <c r="Q43" s="18">
        <f>COUNT(Table5[[#This Row],[May''25]:[April''26]])</f>
        <v>12</v>
      </c>
      <c r="R43" s="38">
        <f t="shared" si="0"/>
        <v>24000</v>
      </c>
    </row>
    <row r="44" spans="1:18" x14ac:dyDescent="0.35">
      <c r="A44" s="13" t="s">
        <v>68</v>
      </c>
      <c r="B44" s="21">
        <v>202504041</v>
      </c>
      <c r="C44" s="17">
        <v>4</v>
      </c>
      <c r="D44" s="17">
        <v>4000</v>
      </c>
      <c r="E44" s="20">
        <v>4000</v>
      </c>
      <c r="F44" s="20">
        <v>4000</v>
      </c>
      <c r="G44" s="20">
        <v>4000</v>
      </c>
      <c r="H44" s="20">
        <v>4000</v>
      </c>
      <c r="I44" s="20">
        <v>4000</v>
      </c>
      <c r="J44" s="20">
        <v>4000</v>
      </c>
      <c r="K44" s="20">
        <v>4000</v>
      </c>
      <c r="L44" s="20">
        <v>4000</v>
      </c>
      <c r="M44" s="20">
        <v>4000</v>
      </c>
      <c r="N44" s="20">
        <v>4000</v>
      </c>
      <c r="O44" s="20">
        <v>4000</v>
      </c>
      <c r="P44" s="20">
        <v>4000</v>
      </c>
      <c r="Q44" s="18">
        <f>COUNT(Table5[[#This Row],[May''25]:[April''26]])</f>
        <v>12</v>
      </c>
      <c r="R44" s="38">
        <f t="shared" si="0"/>
        <v>48000</v>
      </c>
    </row>
    <row r="45" spans="1:18" x14ac:dyDescent="0.35">
      <c r="A45" s="13" t="s">
        <v>88</v>
      </c>
      <c r="B45" s="21">
        <v>202504042</v>
      </c>
      <c r="C45" s="17">
        <v>1</v>
      </c>
      <c r="D45" s="17">
        <v>1000</v>
      </c>
      <c r="E45" s="20">
        <v>1000</v>
      </c>
      <c r="F45" s="20">
        <v>1000</v>
      </c>
      <c r="G45" s="20">
        <v>1000</v>
      </c>
      <c r="H45" s="20">
        <v>1000</v>
      </c>
      <c r="I45" s="20">
        <v>1000</v>
      </c>
      <c r="J45" s="20">
        <v>1000</v>
      </c>
      <c r="K45" s="20">
        <v>1000</v>
      </c>
      <c r="L45" s="20">
        <v>1000</v>
      </c>
      <c r="M45" s="20">
        <v>1000</v>
      </c>
      <c r="N45" s="20">
        <v>1000</v>
      </c>
      <c r="O45" s="20">
        <v>1000</v>
      </c>
      <c r="P45" s="20">
        <v>1000</v>
      </c>
      <c r="Q45" s="18">
        <f>COUNT(Table5[[#This Row],[May''25]:[April''26]])</f>
        <v>12</v>
      </c>
      <c r="R45" s="38">
        <f t="shared" si="0"/>
        <v>12000</v>
      </c>
    </row>
    <row r="46" spans="1:18" x14ac:dyDescent="0.35">
      <c r="A46" s="13" t="s">
        <v>51</v>
      </c>
      <c r="B46" s="21">
        <v>202504043</v>
      </c>
      <c r="C46" s="17">
        <v>2</v>
      </c>
      <c r="D46" s="17">
        <v>2000</v>
      </c>
      <c r="E46" s="20">
        <v>2000</v>
      </c>
      <c r="F46" s="20">
        <v>2000</v>
      </c>
      <c r="G46" s="20">
        <v>2000</v>
      </c>
      <c r="H46" s="20">
        <v>2000</v>
      </c>
      <c r="I46" s="20">
        <v>2000</v>
      </c>
      <c r="J46" s="20">
        <v>2000</v>
      </c>
      <c r="K46" s="20">
        <v>2000</v>
      </c>
      <c r="L46" s="20">
        <v>2000</v>
      </c>
      <c r="M46" s="20">
        <v>2000</v>
      </c>
      <c r="N46" s="20">
        <v>2000</v>
      </c>
      <c r="O46" s="20">
        <v>2000</v>
      </c>
      <c r="P46" s="20">
        <v>2000</v>
      </c>
      <c r="Q46" s="18">
        <f>COUNT(Table5[[#This Row],[May''25]:[April''26]])</f>
        <v>12</v>
      </c>
      <c r="R46" s="38">
        <f t="shared" si="0"/>
        <v>24000</v>
      </c>
    </row>
    <row r="47" spans="1:18" x14ac:dyDescent="0.35">
      <c r="A47" s="13" t="s">
        <v>56</v>
      </c>
      <c r="B47" s="21">
        <v>202504044</v>
      </c>
      <c r="C47" s="17">
        <v>2</v>
      </c>
      <c r="D47" s="17">
        <v>2000</v>
      </c>
      <c r="E47" s="20">
        <v>2000</v>
      </c>
      <c r="F47" s="20">
        <v>2000</v>
      </c>
      <c r="G47" s="20">
        <v>2000</v>
      </c>
      <c r="H47" s="20">
        <v>2000</v>
      </c>
      <c r="I47" s="20">
        <v>2000</v>
      </c>
      <c r="J47" s="20">
        <v>2000</v>
      </c>
      <c r="K47" s="20">
        <v>2000</v>
      </c>
      <c r="L47" s="20">
        <v>2000</v>
      </c>
      <c r="M47" s="20">
        <v>2000</v>
      </c>
      <c r="N47" s="20">
        <v>2000</v>
      </c>
      <c r="O47" s="20">
        <v>2000</v>
      </c>
      <c r="P47" s="20">
        <v>2000</v>
      </c>
      <c r="Q47" s="18">
        <f>COUNT(Table5[[#This Row],[May''25]:[April''26]])</f>
        <v>12</v>
      </c>
      <c r="R47" s="38">
        <f t="shared" si="0"/>
        <v>24000</v>
      </c>
    </row>
    <row r="48" spans="1:18" x14ac:dyDescent="0.35">
      <c r="A48" s="13" t="s">
        <v>49</v>
      </c>
      <c r="B48" s="21">
        <v>202504045</v>
      </c>
      <c r="C48" s="17">
        <v>1</v>
      </c>
      <c r="D48" s="17">
        <v>1000</v>
      </c>
      <c r="E48" s="20">
        <v>1000</v>
      </c>
      <c r="F48" s="20">
        <v>1000</v>
      </c>
      <c r="G48" s="20">
        <v>1000</v>
      </c>
      <c r="H48" s="20">
        <v>1000</v>
      </c>
      <c r="I48" s="20">
        <v>1000</v>
      </c>
      <c r="J48" s="20">
        <v>1000</v>
      </c>
      <c r="K48" s="20">
        <v>1000</v>
      </c>
      <c r="L48" s="20">
        <v>1000</v>
      </c>
      <c r="M48" s="20">
        <v>1000</v>
      </c>
      <c r="N48" s="20">
        <v>1000</v>
      </c>
      <c r="O48" s="20">
        <v>1000</v>
      </c>
      <c r="P48" s="20">
        <v>1000</v>
      </c>
      <c r="Q48" s="18">
        <f>COUNT(Table5[[#This Row],[May''25]:[April''26]])</f>
        <v>12</v>
      </c>
      <c r="R48" s="38">
        <f t="shared" si="0"/>
        <v>12000</v>
      </c>
    </row>
    <row r="49" spans="1:18" x14ac:dyDescent="0.35">
      <c r="A49" s="13" t="s">
        <v>61</v>
      </c>
      <c r="B49" s="21">
        <v>202504046</v>
      </c>
      <c r="C49" s="17">
        <v>10</v>
      </c>
      <c r="D49" s="17">
        <v>10000</v>
      </c>
      <c r="E49" s="20">
        <v>10000</v>
      </c>
      <c r="F49" s="20">
        <v>10000</v>
      </c>
      <c r="G49" s="20">
        <v>10000</v>
      </c>
      <c r="H49" s="20">
        <v>10000</v>
      </c>
      <c r="I49" s="20">
        <v>10000</v>
      </c>
      <c r="J49" s="20">
        <v>10000</v>
      </c>
      <c r="K49" s="20">
        <v>10000</v>
      </c>
      <c r="L49" s="20">
        <v>10000</v>
      </c>
      <c r="M49" s="20">
        <v>10000</v>
      </c>
      <c r="N49" s="20">
        <v>10000</v>
      </c>
      <c r="O49" s="20">
        <v>10000</v>
      </c>
      <c r="P49" s="20">
        <v>10000</v>
      </c>
      <c r="Q49" s="18">
        <f>COUNT(Table5[[#This Row],[May''25]:[April''26]])</f>
        <v>12</v>
      </c>
      <c r="R49" s="38">
        <f t="shared" si="0"/>
        <v>120000</v>
      </c>
    </row>
    <row r="50" spans="1:18" x14ac:dyDescent="0.35">
      <c r="A50" s="13" t="s">
        <v>97</v>
      </c>
      <c r="B50" s="21">
        <v>202504047</v>
      </c>
      <c r="C50" s="17">
        <v>1</v>
      </c>
      <c r="D50" s="17">
        <v>1000</v>
      </c>
      <c r="E50" s="20">
        <v>1000</v>
      </c>
      <c r="F50" s="20">
        <v>1000</v>
      </c>
      <c r="G50" s="20">
        <v>1000</v>
      </c>
      <c r="H50" s="20">
        <v>1000</v>
      </c>
      <c r="I50" s="20">
        <v>1000</v>
      </c>
      <c r="J50" s="20">
        <v>1000</v>
      </c>
      <c r="K50" s="20">
        <v>1000</v>
      </c>
      <c r="L50" s="20">
        <v>1000</v>
      </c>
      <c r="M50" s="20">
        <v>1000</v>
      </c>
      <c r="N50" s="20">
        <v>1000</v>
      </c>
      <c r="O50" s="20">
        <v>1000</v>
      </c>
      <c r="P50" s="20">
        <v>1000</v>
      </c>
      <c r="Q50" s="18">
        <f>COUNT(Table5[[#This Row],[May''25]:[April''26]])</f>
        <v>12</v>
      </c>
      <c r="R50" s="38">
        <f t="shared" si="0"/>
        <v>12000</v>
      </c>
    </row>
    <row r="51" spans="1:18" x14ac:dyDescent="0.35">
      <c r="A51" s="13" t="s">
        <v>55</v>
      </c>
      <c r="B51" s="21">
        <v>202504048</v>
      </c>
      <c r="C51" s="17">
        <v>1</v>
      </c>
      <c r="D51" s="17">
        <v>1000</v>
      </c>
      <c r="E51" s="20">
        <v>1000</v>
      </c>
      <c r="F51" s="20">
        <v>1000</v>
      </c>
      <c r="G51" s="20">
        <v>1000</v>
      </c>
      <c r="H51" s="20">
        <v>1000</v>
      </c>
      <c r="I51" s="20">
        <v>1000</v>
      </c>
      <c r="J51" s="20">
        <v>1000</v>
      </c>
      <c r="K51" s="20">
        <v>1000</v>
      </c>
      <c r="L51" s="20">
        <v>1000</v>
      </c>
      <c r="M51" s="20">
        <v>1000</v>
      </c>
      <c r="N51" s="20">
        <v>1000</v>
      </c>
      <c r="O51" s="20">
        <v>1000</v>
      </c>
      <c r="P51" s="20">
        <v>1000</v>
      </c>
      <c r="Q51" s="18">
        <f>COUNT(Table5[[#This Row],[May''25]:[April''26]])</f>
        <v>12</v>
      </c>
      <c r="R51" s="38">
        <f t="shared" si="0"/>
        <v>12000</v>
      </c>
    </row>
    <row r="52" spans="1:18" x14ac:dyDescent="0.35">
      <c r="A52" s="13" t="s">
        <v>54</v>
      </c>
      <c r="B52" s="21">
        <v>202504049</v>
      </c>
      <c r="C52" s="17">
        <v>1</v>
      </c>
      <c r="D52" s="17">
        <v>1000</v>
      </c>
      <c r="E52" s="20">
        <v>1000</v>
      </c>
      <c r="F52" s="20">
        <v>1000</v>
      </c>
      <c r="G52" s="20">
        <v>1000</v>
      </c>
      <c r="H52" s="20">
        <v>1000</v>
      </c>
      <c r="I52" s="20">
        <v>1000</v>
      </c>
      <c r="J52" s="20">
        <v>1000</v>
      </c>
      <c r="K52" s="20">
        <v>1000</v>
      </c>
      <c r="L52" s="20">
        <v>1000</v>
      </c>
      <c r="M52" s="20">
        <v>1000</v>
      </c>
      <c r="N52" s="20">
        <v>1000</v>
      </c>
      <c r="O52" s="20">
        <v>1000</v>
      </c>
      <c r="P52" s="20">
        <v>1000</v>
      </c>
      <c r="Q52" s="18">
        <f>COUNT(Table5[[#This Row],[May''25]:[April''26]])</f>
        <v>12</v>
      </c>
      <c r="R52" s="38">
        <f t="shared" si="0"/>
        <v>12000</v>
      </c>
    </row>
    <row r="53" spans="1:18" x14ac:dyDescent="0.35">
      <c r="A53" s="13" t="s">
        <v>62</v>
      </c>
      <c r="B53" s="21">
        <v>202504050</v>
      </c>
      <c r="C53" s="17">
        <v>1</v>
      </c>
      <c r="D53" s="17">
        <v>1000</v>
      </c>
      <c r="E53" s="20">
        <v>1000</v>
      </c>
      <c r="F53" s="20">
        <v>1000</v>
      </c>
      <c r="G53" s="20">
        <v>1000</v>
      </c>
      <c r="H53" s="20">
        <v>1000</v>
      </c>
      <c r="I53" s="20">
        <v>1000</v>
      </c>
      <c r="J53" s="20">
        <v>1000</v>
      </c>
      <c r="K53" s="20">
        <v>1000</v>
      </c>
      <c r="L53" s="20">
        <v>1000</v>
      </c>
      <c r="M53" s="20">
        <v>1000</v>
      </c>
      <c r="N53" s="20">
        <v>1000</v>
      </c>
      <c r="O53" s="20">
        <v>1000</v>
      </c>
      <c r="P53" s="20">
        <v>1000</v>
      </c>
      <c r="Q53" s="18">
        <f>COUNT(Table5[[#This Row],[May''25]:[April''26]])</f>
        <v>12</v>
      </c>
      <c r="R53" s="38">
        <f t="shared" si="0"/>
        <v>12000</v>
      </c>
    </row>
    <row r="54" spans="1:18" x14ac:dyDescent="0.35">
      <c r="A54" s="13" t="s">
        <v>63</v>
      </c>
      <c r="B54" s="21">
        <v>202504051</v>
      </c>
      <c r="C54" s="17">
        <v>1</v>
      </c>
      <c r="D54" s="17">
        <v>1000</v>
      </c>
      <c r="E54" s="20">
        <v>1000</v>
      </c>
      <c r="F54" s="20">
        <v>1000</v>
      </c>
      <c r="G54" s="20">
        <v>1000</v>
      </c>
      <c r="H54" s="20">
        <v>1000</v>
      </c>
      <c r="I54" s="20">
        <v>1000</v>
      </c>
      <c r="J54" s="20">
        <v>1000</v>
      </c>
      <c r="K54" s="20">
        <v>1000</v>
      </c>
      <c r="L54" s="20">
        <v>1000</v>
      </c>
      <c r="M54" s="20">
        <v>1000</v>
      </c>
      <c r="N54" s="20">
        <v>1000</v>
      </c>
      <c r="O54" s="20">
        <v>1000</v>
      </c>
      <c r="P54" s="20">
        <v>1000</v>
      </c>
      <c r="Q54" s="18">
        <f>COUNT(Table5[[#This Row],[May''25]:[April''26]])</f>
        <v>12</v>
      </c>
      <c r="R54" s="38">
        <f t="shared" si="0"/>
        <v>12000</v>
      </c>
    </row>
    <row r="55" spans="1:18" x14ac:dyDescent="0.35">
      <c r="A55" s="14" t="s">
        <v>57</v>
      </c>
      <c r="B55" s="21">
        <v>202504052</v>
      </c>
      <c r="C55" s="17">
        <v>8</v>
      </c>
      <c r="D55" s="17">
        <v>8000</v>
      </c>
      <c r="E55" s="20">
        <v>6000</v>
      </c>
      <c r="F55" s="20">
        <v>6000</v>
      </c>
      <c r="G55" s="20">
        <v>6000</v>
      </c>
      <c r="H55" s="20">
        <v>6000</v>
      </c>
      <c r="I55" s="20">
        <v>6000</v>
      </c>
      <c r="J55" s="20">
        <v>6000</v>
      </c>
      <c r="K55" s="20">
        <v>6000</v>
      </c>
      <c r="L55" s="20">
        <v>22000</v>
      </c>
      <c r="M55" s="6">
        <v>8000</v>
      </c>
      <c r="N55" s="6">
        <v>8000</v>
      </c>
      <c r="O55" s="6">
        <v>8000</v>
      </c>
      <c r="P55" s="6">
        <v>8000</v>
      </c>
      <c r="Q55" s="18">
        <f>COUNT(Table5[[#This Row],[May''25]:[April''26]])</f>
        <v>12</v>
      </c>
      <c r="R55" s="38">
        <f t="shared" si="0"/>
        <v>96000</v>
      </c>
    </row>
    <row r="56" spans="1:18" x14ac:dyDescent="0.35">
      <c r="A56" s="13" t="s">
        <v>76</v>
      </c>
      <c r="B56" s="21">
        <v>202504053</v>
      </c>
      <c r="C56" s="17">
        <v>2</v>
      </c>
      <c r="D56" s="17">
        <v>2000</v>
      </c>
      <c r="E56" s="20">
        <v>2000</v>
      </c>
      <c r="F56" s="20">
        <v>2000</v>
      </c>
      <c r="G56" s="20">
        <v>2000</v>
      </c>
      <c r="H56" s="20">
        <v>2000</v>
      </c>
      <c r="I56" s="20">
        <v>2000</v>
      </c>
      <c r="J56" s="20">
        <v>2000</v>
      </c>
      <c r="K56" s="20">
        <v>2000</v>
      </c>
      <c r="L56" s="20">
        <v>2000</v>
      </c>
      <c r="M56" s="20">
        <v>2000</v>
      </c>
      <c r="N56" s="20">
        <v>2000</v>
      </c>
      <c r="O56" s="20">
        <v>2000</v>
      </c>
      <c r="P56" s="20">
        <v>2000</v>
      </c>
      <c r="Q56" s="18">
        <f>COUNT(Table5[[#This Row],[May''25]:[April''26]])</f>
        <v>12</v>
      </c>
      <c r="R56" s="38">
        <f t="shared" si="0"/>
        <v>24000</v>
      </c>
    </row>
    <row r="57" spans="1:18" x14ac:dyDescent="0.35">
      <c r="A57" s="13" t="s">
        <v>47</v>
      </c>
      <c r="B57" s="21">
        <v>202504054</v>
      </c>
      <c r="C57" s="17">
        <v>1</v>
      </c>
      <c r="D57" s="17">
        <v>1000</v>
      </c>
      <c r="E57" s="20">
        <v>1000</v>
      </c>
      <c r="F57" s="20">
        <v>1000</v>
      </c>
      <c r="G57" s="20">
        <v>1000</v>
      </c>
      <c r="H57" s="20">
        <v>1000</v>
      </c>
      <c r="I57" s="20">
        <v>1000</v>
      </c>
      <c r="J57" s="20">
        <v>1000</v>
      </c>
      <c r="K57" s="20">
        <v>1000</v>
      </c>
      <c r="L57" s="20">
        <v>1000</v>
      </c>
      <c r="M57" s="20">
        <v>1000</v>
      </c>
      <c r="N57" s="20">
        <v>1000</v>
      </c>
      <c r="O57" s="20">
        <v>1000</v>
      </c>
      <c r="P57" s="20">
        <v>2000</v>
      </c>
      <c r="Q57" s="18">
        <f>COUNT(Table5[[#This Row],[May''25]:[April''26]])</f>
        <v>12</v>
      </c>
      <c r="R57" s="38">
        <f t="shared" si="0"/>
        <v>13000</v>
      </c>
    </row>
    <row r="58" spans="1:18" x14ac:dyDescent="0.35">
      <c r="A58" s="13" t="s">
        <v>48</v>
      </c>
      <c r="B58" s="21">
        <v>202504055</v>
      </c>
      <c r="C58" s="17">
        <v>1</v>
      </c>
      <c r="D58" s="17">
        <v>1000</v>
      </c>
      <c r="E58" s="20">
        <v>1000</v>
      </c>
      <c r="F58" s="20">
        <v>1000</v>
      </c>
      <c r="G58" s="20">
        <v>1000</v>
      </c>
      <c r="H58" s="20">
        <v>1000</v>
      </c>
      <c r="I58" s="20">
        <v>1000</v>
      </c>
      <c r="J58" s="20">
        <v>1000</v>
      </c>
      <c r="K58" s="20">
        <v>1000</v>
      </c>
      <c r="L58" s="20">
        <v>1000</v>
      </c>
      <c r="M58" s="20">
        <v>1000</v>
      </c>
      <c r="N58" s="20">
        <v>1000</v>
      </c>
      <c r="O58" s="20">
        <v>1000</v>
      </c>
      <c r="P58" s="20">
        <v>2000</v>
      </c>
      <c r="Q58" s="18">
        <f>COUNT(Table5[[#This Row],[May''25]:[April''26]])</f>
        <v>12</v>
      </c>
      <c r="R58" s="38">
        <f t="shared" si="0"/>
        <v>13000</v>
      </c>
    </row>
    <row r="59" spans="1:18" x14ac:dyDescent="0.35">
      <c r="A59" s="13" t="s">
        <v>42</v>
      </c>
      <c r="B59" s="21">
        <v>202504056</v>
      </c>
      <c r="C59" s="17">
        <v>1</v>
      </c>
      <c r="D59" s="17">
        <v>1000</v>
      </c>
      <c r="E59" s="20">
        <v>1000</v>
      </c>
      <c r="F59" s="20">
        <v>1000</v>
      </c>
      <c r="G59" s="20">
        <v>1000</v>
      </c>
      <c r="H59" s="20">
        <v>1000</v>
      </c>
      <c r="I59" s="20">
        <v>1000</v>
      </c>
      <c r="J59" s="20">
        <v>1000</v>
      </c>
      <c r="K59" s="20">
        <v>1000</v>
      </c>
      <c r="L59" s="20">
        <v>1000</v>
      </c>
      <c r="M59" s="20">
        <v>1000</v>
      </c>
      <c r="N59" s="20">
        <v>1000</v>
      </c>
      <c r="O59" s="20">
        <v>1000</v>
      </c>
      <c r="P59" s="20">
        <v>1000</v>
      </c>
      <c r="Q59" s="18">
        <f>COUNT(Table5[[#This Row],[May''25]:[April''26]])</f>
        <v>12</v>
      </c>
      <c r="R59" s="38">
        <f t="shared" si="0"/>
        <v>12000</v>
      </c>
    </row>
    <row r="60" spans="1:18" x14ac:dyDescent="0.35">
      <c r="A60" s="13" t="s">
        <v>79</v>
      </c>
      <c r="B60" s="21">
        <v>202504057</v>
      </c>
      <c r="C60" s="17">
        <v>2</v>
      </c>
      <c r="D60" s="17">
        <v>2000</v>
      </c>
      <c r="E60" s="20">
        <v>2000</v>
      </c>
      <c r="F60" s="20">
        <v>2000</v>
      </c>
      <c r="G60" s="20">
        <v>2000</v>
      </c>
      <c r="H60" s="20">
        <v>2000</v>
      </c>
      <c r="I60" s="20">
        <v>2000</v>
      </c>
      <c r="J60" s="20">
        <v>2000</v>
      </c>
      <c r="K60" s="20">
        <v>2000</v>
      </c>
      <c r="L60" s="20">
        <v>2000</v>
      </c>
      <c r="M60" s="20">
        <v>2000</v>
      </c>
      <c r="N60" s="20">
        <v>2000</v>
      </c>
      <c r="O60" s="20">
        <v>2000</v>
      </c>
      <c r="P60" s="20">
        <v>2000</v>
      </c>
      <c r="Q60" s="18">
        <f>COUNT(Table5[[#This Row],[May''25]:[April''26]])</f>
        <v>12</v>
      </c>
      <c r="R60" s="38">
        <f t="shared" si="0"/>
        <v>24000</v>
      </c>
    </row>
    <row r="61" spans="1:18" x14ac:dyDescent="0.35">
      <c r="A61" s="13" t="s">
        <v>43</v>
      </c>
      <c r="B61" s="21">
        <v>202504058</v>
      </c>
      <c r="C61" s="17">
        <v>2</v>
      </c>
      <c r="D61" s="17">
        <v>2000</v>
      </c>
      <c r="E61" s="20">
        <v>2000</v>
      </c>
      <c r="F61" s="20">
        <v>2000</v>
      </c>
      <c r="G61" s="20">
        <v>2000</v>
      </c>
      <c r="H61" s="20">
        <v>2000</v>
      </c>
      <c r="I61" s="20">
        <v>2000</v>
      </c>
      <c r="J61" s="20">
        <v>2000</v>
      </c>
      <c r="K61" s="20">
        <v>2000</v>
      </c>
      <c r="L61" s="20">
        <v>2000</v>
      </c>
      <c r="M61" s="20">
        <v>2000</v>
      </c>
      <c r="N61" s="20">
        <v>2000</v>
      </c>
      <c r="O61" s="20">
        <v>2000</v>
      </c>
      <c r="P61" s="20">
        <v>2000</v>
      </c>
      <c r="Q61" s="18">
        <f>COUNT(Table5[[#This Row],[May''25]:[April''26]])</f>
        <v>12</v>
      </c>
      <c r="R61" s="38">
        <f t="shared" si="0"/>
        <v>24000</v>
      </c>
    </row>
    <row r="62" spans="1:18" x14ac:dyDescent="0.35">
      <c r="A62" s="13" t="s">
        <v>58</v>
      </c>
      <c r="B62" s="21">
        <v>202504059</v>
      </c>
      <c r="C62" s="17">
        <v>1</v>
      </c>
      <c r="D62" s="17">
        <v>1000</v>
      </c>
      <c r="E62" s="20">
        <v>1000</v>
      </c>
      <c r="F62" s="20">
        <v>1000</v>
      </c>
      <c r="G62" s="20">
        <v>1000</v>
      </c>
      <c r="H62" s="20">
        <v>1000</v>
      </c>
      <c r="I62" s="20">
        <v>1000</v>
      </c>
      <c r="J62" s="20">
        <v>1000</v>
      </c>
      <c r="K62" s="20">
        <v>1000</v>
      </c>
      <c r="L62" s="20">
        <v>1000</v>
      </c>
      <c r="M62" s="20">
        <v>1000</v>
      </c>
      <c r="N62" s="20">
        <v>1000</v>
      </c>
      <c r="O62" s="20">
        <v>1000</v>
      </c>
      <c r="P62" s="20">
        <v>1000</v>
      </c>
      <c r="Q62" s="18">
        <f>COUNT(Table5[[#This Row],[May''25]:[April''26]])</f>
        <v>12</v>
      </c>
      <c r="R62" s="38">
        <f t="shared" si="0"/>
        <v>12000</v>
      </c>
    </row>
    <row r="63" spans="1:18" x14ac:dyDescent="0.35">
      <c r="A63" s="13" t="s">
        <v>66</v>
      </c>
      <c r="B63" s="21">
        <v>202504060</v>
      </c>
      <c r="C63" s="17">
        <v>1</v>
      </c>
      <c r="D63" s="17">
        <v>1000</v>
      </c>
      <c r="E63" s="20">
        <v>1000</v>
      </c>
      <c r="F63" s="20">
        <v>1000</v>
      </c>
      <c r="G63" s="20">
        <v>1000</v>
      </c>
      <c r="H63" s="20">
        <v>1000</v>
      </c>
      <c r="I63" s="20">
        <v>1000</v>
      </c>
      <c r="J63" s="20">
        <v>1000</v>
      </c>
      <c r="K63" s="20">
        <v>1000</v>
      </c>
      <c r="L63" s="20">
        <v>1000</v>
      </c>
      <c r="M63" s="20">
        <v>1000</v>
      </c>
      <c r="N63" s="20">
        <v>1000</v>
      </c>
      <c r="O63" s="20">
        <v>1000</v>
      </c>
      <c r="P63" s="20">
        <v>1000</v>
      </c>
      <c r="Q63" s="18">
        <f>COUNT(Table5[[#This Row],[May''25]:[April''26]])</f>
        <v>12</v>
      </c>
      <c r="R63" s="38">
        <f t="shared" si="0"/>
        <v>12000</v>
      </c>
    </row>
    <row r="64" spans="1:18" x14ac:dyDescent="0.35">
      <c r="A64" s="13" t="s">
        <v>67</v>
      </c>
      <c r="B64" s="21">
        <v>202504061</v>
      </c>
      <c r="C64" s="17">
        <v>1</v>
      </c>
      <c r="D64" s="17">
        <v>1000</v>
      </c>
      <c r="E64" s="20">
        <v>1000</v>
      </c>
      <c r="F64" s="20">
        <v>1000</v>
      </c>
      <c r="G64" s="20">
        <v>1000</v>
      </c>
      <c r="H64" s="20">
        <v>1000</v>
      </c>
      <c r="I64" s="20">
        <v>1000</v>
      </c>
      <c r="J64" s="20">
        <v>1000</v>
      </c>
      <c r="K64" s="20">
        <v>1000</v>
      </c>
      <c r="L64" s="20">
        <v>1000</v>
      </c>
      <c r="M64" s="20">
        <v>1000</v>
      </c>
      <c r="N64" s="20">
        <v>1000</v>
      </c>
      <c r="O64" s="20">
        <v>1000</v>
      </c>
      <c r="P64" s="20">
        <v>1000</v>
      </c>
      <c r="Q64" s="18">
        <f>COUNT(Table5[[#This Row],[May''25]:[April''26]])</f>
        <v>12</v>
      </c>
      <c r="R64" s="38">
        <f t="shared" si="0"/>
        <v>12000</v>
      </c>
    </row>
    <row r="65" spans="1:18" x14ac:dyDescent="0.35">
      <c r="A65" s="13" t="s">
        <v>75</v>
      </c>
      <c r="B65" s="21">
        <v>202504062</v>
      </c>
      <c r="C65" s="17">
        <v>1</v>
      </c>
      <c r="D65" s="17">
        <v>1000</v>
      </c>
      <c r="E65" s="20">
        <v>1000</v>
      </c>
      <c r="F65" s="20">
        <v>1000</v>
      </c>
      <c r="G65" s="20">
        <v>1000</v>
      </c>
      <c r="H65" s="20">
        <v>1000</v>
      </c>
      <c r="I65" s="20">
        <v>1000</v>
      </c>
      <c r="J65" s="20">
        <v>1000</v>
      </c>
      <c r="K65" s="20">
        <v>1000</v>
      </c>
      <c r="L65" s="20">
        <v>1000</v>
      </c>
      <c r="M65" s="20">
        <v>1000</v>
      </c>
      <c r="N65" s="20">
        <v>1000</v>
      </c>
      <c r="O65" s="20">
        <v>1000</v>
      </c>
      <c r="P65" s="20">
        <v>1000</v>
      </c>
      <c r="Q65" s="18">
        <f>COUNT(Table5[[#This Row],[May''25]:[April''26]])</f>
        <v>12</v>
      </c>
      <c r="R65" s="38">
        <f t="shared" si="0"/>
        <v>12000</v>
      </c>
    </row>
    <row r="66" spans="1:18" x14ac:dyDescent="0.35">
      <c r="A66" s="13" t="s">
        <v>105</v>
      </c>
      <c r="B66" s="21">
        <v>202504063</v>
      </c>
      <c r="C66" s="17">
        <v>1</v>
      </c>
      <c r="D66" s="17">
        <v>1000</v>
      </c>
      <c r="E66" s="20">
        <v>1000</v>
      </c>
      <c r="F66" s="20">
        <v>1000</v>
      </c>
      <c r="G66" s="20">
        <v>1000</v>
      </c>
      <c r="H66" s="20">
        <v>1000</v>
      </c>
      <c r="I66" s="20">
        <v>1000</v>
      </c>
      <c r="J66" s="20">
        <v>1000</v>
      </c>
      <c r="K66" s="20">
        <v>1000</v>
      </c>
      <c r="L66" s="20">
        <v>1000</v>
      </c>
      <c r="M66" s="20">
        <v>1000</v>
      </c>
      <c r="N66" s="20">
        <v>1000</v>
      </c>
      <c r="O66" s="20">
        <v>1000</v>
      </c>
      <c r="P66" s="20">
        <v>1000</v>
      </c>
      <c r="Q66" s="18">
        <f>COUNT(Table5[[#This Row],[May''25]:[April''26]])</f>
        <v>12</v>
      </c>
      <c r="R66" s="38">
        <f t="shared" si="0"/>
        <v>12000</v>
      </c>
    </row>
    <row r="67" spans="1:18" x14ac:dyDescent="0.35">
      <c r="A67" s="13" t="s">
        <v>85</v>
      </c>
      <c r="B67" s="21">
        <v>202504064</v>
      </c>
      <c r="C67" s="17">
        <v>1</v>
      </c>
      <c r="D67" s="17">
        <v>1000</v>
      </c>
      <c r="E67" s="20">
        <v>1000</v>
      </c>
      <c r="F67" s="20">
        <v>1000</v>
      </c>
      <c r="G67" s="20">
        <v>1000</v>
      </c>
      <c r="H67" s="20">
        <v>1000</v>
      </c>
      <c r="I67" s="20">
        <v>1000</v>
      </c>
      <c r="J67" s="20">
        <v>1000</v>
      </c>
      <c r="K67" s="20">
        <v>1000</v>
      </c>
      <c r="L67" s="20">
        <v>1000</v>
      </c>
      <c r="M67" s="20">
        <v>1000</v>
      </c>
      <c r="N67" s="20">
        <v>1000</v>
      </c>
      <c r="O67" s="20">
        <v>1000</v>
      </c>
      <c r="P67" s="20">
        <v>1000</v>
      </c>
      <c r="Q67" s="18">
        <f>COUNT(Table5[[#This Row],[May''25]:[April''26]])</f>
        <v>12</v>
      </c>
      <c r="R67" s="38">
        <f t="shared" si="0"/>
        <v>12000</v>
      </c>
    </row>
    <row r="68" spans="1:18" x14ac:dyDescent="0.35">
      <c r="A68" s="13" t="s">
        <v>92</v>
      </c>
      <c r="B68" s="21">
        <v>202504065</v>
      </c>
      <c r="C68" s="17">
        <v>1</v>
      </c>
      <c r="D68" s="17">
        <v>1000</v>
      </c>
      <c r="E68" s="20">
        <v>1000</v>
      </c>
      <c r="F68" s="20">
        <v>1000</v>
      </c>
      <c r="G68" s="20">
        <v>1000</v>
      </c>
      <c r="H68" s="20">
        <v>1000</v>
      </c>
      <c r="I68" s="20">
        <v>1000</v>
      </c>
      <c r="J68" s="20">
        <v>1000</v>
      </c>
      <c r="K68" s="20">
        <v>1000</v>
      </c>
      <c r="L68" s="20">
        <v>1000</v>
      </c>
      <c r="M68" s="20">
        <v>1000</v>
      </c>
      <c r="N68" s="20">
        <v>1000</v>
      </c>
      <c r="O68" s="20">
        <v>1000</v>
      </c>
      <c r="P68" s="20">
        <v>1000</v>
      </c>
      <c r="Q68" s="18">
        <f>COUNT(Table5[[#This Row],[May''25]:[April''26]])</f>
        <v>12</v>
      </c>
      <c r="R68" s="38">
        <f t="shared" si="0"/>
        <v>12000</v>
      </c>
    </row>
    <row r="69" spans="1:18" x14ac:dyDescent="0.35">
      <c r="A69" s="13" t="s">
        <v>82</v>
      </c>
      <c r="B69" s="21">
        <v>202504066</v>
      </c>
      <c r="C69" s="17">
        <v>2</v>
      </c>
      <c r="D69" s="17">
        <v>2000</v>
      </c>
      <c r="E69" s="20">
        <v>2000</v>
      </c>
      <c r="F69" s="20">
        <v>2000</v>
      </c>
      <c r="G69" s="20">
        <v>2000</v>
      </c>
      <c r="H69" s="20">
        <v>2000</v>
      </c>
      <c r="I69" s="20">
        <v>2000</v>
      </c>
      <c r="J69" s="20">
        <v>2000</v>
      </c>
      <c r="K69" s="20">
        <v>2000</v>
      </c>
      <c r="L69" s="20">
        <v>2000</v>
      </c>
      <c r="M69" s="20">
        <v>2000</v>
      </c>
      <c r="N69" s="20">
        <v>2000</v>
      </c>
      <c r="O69" s="60"/>
      <c r="P69" s="20">
        <v>4000</v>
      </c>
      <c r="Q69" s="18">
        <f>COUNT(Table5[[#This Row],[May''25]:[April''26]])</f>
        <v>11</v>
      </c>
      <c r="R69" s="38">
        <f t="shared" ref="R69:R85" si="1">SUM(E69:P69)</f>
        <v>24000</v>
      </c>
    </row>
    <row r="70" spans="1:18" x14ac:dyDescent="0.35">
      <c r="A70" s="13" t="s">
        <v>83</v>
      </c>
      <c r="B70" s="21">
        <v>202504067</v>
      </c>
      <c r="C70" s="17">
        <v>1</v>
      </c>
      <c r="D70" s="17">
        <v>1000</v>
      </c>
      <c r="E70" s="20">
        <v>1000</v>
      </c>
      <c r="F70" s="20">
        <v>1000</v>
      </c>
      <c r="G70" s="20">
        <v>1000</v>
      </c>
      <c r="H70" s="20">
        <v>1000</v>
      </c>
      <c r="I70" s="20">
        <v>1000</v>
      </c>
      <c r="J70" s="20">
        <v>1000</v>
      </c>
      <c r="K70" s="20">
        <v>1000</v>
      </c>
      <c r="L70" s="20">
        <v>1000</v>
      </c>
      <c r="M70" s="20">
        <v>1000</v>
      </c>
      <c r="N70" s="20">
        <v>1000</v>
      </c>
      <c r="O70" s="20">
        <v>1000</v>
      </c>
      <c r="P70" s="20">
        <v>1000</v>
      </c>
      <c r="Q70" s="18">
        <f>COUNT(Table5[[#This Row],[May''25]:[April''26]])</f>
        <v>12</v>
      </c>
      <c r="R70" s="38">
        <f t="shared" si="1"/>
        <v>12000</v>
      </c>
    </row>
    <row r="71" spans="1:18" x14ac:dyDescent="0.35">
      <c r="A71" s="13" t="s">
        <v>87</v>
      </c>
      <c r="B71" s="21">
        <v>202504068</v>
      </c>
      <c r="C71" s="17">
        <v>1</v>
      </c>
      <c r="D71" s="17">
        <v>1000</v>
      </c>
      <c r="E71" s="20">
        <v>1000</v>
      </c>
      <c r="F71" s="20">
        <v>1000</v>
      </c>
      <c r="G71" s="20">
        <v>1000</v>
      </c>
      <c r="H71" s="20">
        <v>1000</v>
      </c>
      <c r="I71" s="20">
        <v>1000</v>
      </c>
      <c r="J71" s="20">
        <v>1000</v>
      </c>
      <c r="K71" s="20">
        <v>1000</v>
      </c>
      <c r="L71" s="20">
        <v>1000</v>
      </c>
      <c r="M71" s="20">
        <v>1000</v>
      </c>
      <c r="N71" s="20">
        <v>1000</v>
      </c>
      <c r="O71" s="20">
        <v>1000</v>
      </c>
      <c r="P71" s="20">
        <v>1000</v>
      </c>
      <c r="Q71" s="18">
        <f>COUNT(Table5[[#This Row],[May''25]:[April''26]])</f>
        <v>12</v>
      </c>
      <c r="R71" s="38">
        <f t="shared" si="1"/>
        <v>12000</v>
      </c>
    </row>
    <row r="72" spans="1:18" x14ac:dyDescent="0.35">
      <c r="A72" s="13" t="s">
        <v>95</v>
      </c>
      <c r="B72" s="21">
        <v>202504069</v>
      </c>
      <c r="C72" s="17">
        <v>2</v>
      </c>
      <c r="D72" s="17">
        <v>2000</v>
      </c>
      <c r="E72" s="20">
        <v>2000</v>
      </c>
      <c r="F72" s="20">
        <v>2000</v>
      </c>
      <c r="G72" s="20">
        <v>2000</v>
      </c>
      <c r="H72" s="20">
        <v>2000</v>
      </c>
      <c r="I72" s="20">
        <v>2000</v>
      </c>
      <c r="J72" s="20">
        <v>2000</v>
      </c>
      <c r="K72" s="20">
        <v>2000</v>
      </c>
      <c r="L72" s="20">
        <v>2000</v>
      </c>
      <c r="M72" s="20">
        <v>2000</v>
      </c>
      <c r="N72" s="20">
        <v>2000</v>
      </c>
      <c r="O72" s="20">
        <v>2000</v>
      </c>
      <c r="P72" s="20">
        <v>2000</v>
      </c>
      <c r="Q72" s="18">
        <f>COUNT(Table5[[#This Row],[May''25]:[April''26]])</f>
        <v>12</v>
      </c>
      <c r="R72" s="38">
        <f t="shared" si="1"/>
        <v>24000</v>
      </c>
    </row>
    <row r="73" spans="1:18" x14ac:dyDescent="0.35">
      <c r="A73" s="13" t="s">
        <v>65</v>
      </c>
      <c r="B73" s="21">
        <v>202504070</v>
      </c>
      <c r="C73" s="17">
        <v>1</v>
      </c>
      <c r="D73" s="17">
        <v>1000</v>
      </c>
      <c r="E73" s="20">
        <v>1000</v>
      </c>
      <c r="F73" s="20">
        <v>1000</v>
      </c>
      <c r="G73" s="20">
        <v>1000</v>
      </c>
      <c r="H73" s="20">
        <v>1000</v>
      </c>
      <c r="I73" s="20">
        <v>1000</v>
      </c>
      <c r="J73" s="20">
        <v>1000</v>
      </c>
      <c r="K73" s="20">
        <v>1000</v>
      </c>
      <c r="L73" s="20">
        <v>1000</v>
      </c>
      <c r="M73" s="20">
        <v>1000</v>
      </c>
      <c r="N73" s="20">
        <v>1000</v>
      </c>
      <c r="O73" s="20">
        <v>1000</v>
      </c>
      <c r="P73" s="20">
        <v>1000</v>
      </c>
      <c r="Q73" s="18">
        <f>COUNT(Table5[[#This Row],[May''25]:[April''26]])</f>
        <v>12</v>
      </c>
      <c r="R73" s="38">
        <f t="shared" si="1"/>
        <v>12000</v>
      </c>
    </row>
    <row r="74" spans="1:18" x14ac:dyDescent="0.35">
      <c r="A74" s="13" t="s">
        <v>52</v>
      </c>
      <c r="B74" s="21">
        <v>202504071</v>
      </c>
      <c r="C74" s="17">
        <v>1</v>
      </c>
      <c r="D74" s="17">
        <v>1000</v>
      </c>
      <c r="E74" s="20">
        <v>1000</v>
      </c>
      <c r="F74" s="20">
        <v>1000</v>
      </c>
      <c r="G74" s="20">
        <v>1000</v>
      </c>
      <c r="H74" s="20">
        <v>1000</v>
      </c>
      <c r="I74" s="20">
        <v>1000</v>
      </c>
      <c r="J74" s="20">
        <v>1000</v>
      </c>
      <c r="K74" s="20">
        <v>1000</v>
      </c>
      <c r="L74" s="20">
        <v>1000</v>
      </c>
      <c r="M74" s="20">
        <v>1000</v>
      </c>
      <c r="N74" s="20">
        <v>1000</v>
      </c>
      <c r="O74" s="20">
        <v>1000</v>
      </c>
      <c r="P74" s="20">
        <v>1000</v>
      </c>
      <c r="Q74" s="18">
        <f>COUNT(Table5[[#This Row],[May''25]:[April''26]])</f>
        <v>12</v>
      </c>
      <c r="R74" s="38">
        <f t="shared" si="1"/>
        <v>12000</v>
      </c>
    </row>
    <row r="75" spans="1:18" x14ac:dyDescent="0.35">
      <c r="A75" s="13" t="s">
        <v>50</v>
      </c>
      <c r="B75" s="21">
        <v>202504072</v>
      </c>
      <c r="C75" s="17">
        <v>1</v>
      </c>
      <c r="D75" s="17">
        <v>1000</v>
      </c>
      <c r="E75" s="20">
        <v>1000</v>
      </c>
      <c r="F75" s="20">
        <v>1000</v>
      </c>
      <c r="G75" s="20">
        <v>1000</v>
      </c>
      <c r="H75" s="20">
        <v>1000</v>
      </c>
      <c r="I75" s="20">
        <v>1000</v>
      </c>
      <c r="J75" s="20">
        <v>1000</v>
      </c>
      <c r="K75" s="20">
        <v>1000</v>
      </c>
      <c r="L75" s="20">
        <v>1000</v>
      </c>
      <c r="M75" s="20">
        <v>1000</v>
      </c>
      <c r="N75" s="20">
        <v>1000</v>
      </c>
      <c r="O75" s="20">
        <v>1000</v>
      </c>
      <c r="P75" s="20">
        <v>1000</v>
      </c>
      <c r="Q75" s="18">
        <f>COUNT(Table5[[#This Row],[May''25]:[April''26]])</f>
        <v>12</v>
      </c>
      <c r="R75" s="38">
        <f t="shared" si="1"/>
        <v>12000</v>
      </c>
    </row>
    <row r="76" spans="1:18" x14ac:dyDescent="0.35">
      <c r="A76" s="39" t="s">
        <v>108</v>
      </c>
      <c r="B76" s="21">
        <v>202504073</v>
      </c>
      <c r="C76" s="45">
        <v>2</v>
      </c>
      <c r="D76" s="45">
        <v>2000</v>
      </c>
      <c r="E76" s="46">
        <v>0</v>
      </c>
      <c r="F76" s="46">
        <v>0</v>
      </c>
      <c r="G76" s="46">
        <v>0</v>
      </c>
      <c r="H76" s="46">
        <v>0</v>
      </c>
      <c r="I76" s="46">
        <v>10000</v>
      </c>
      <c r="J76" s="46">
        <v>2000</v>
      </c>
      <c r="K76" s="46">
        <v>2000</v>
      </c>
      <c r="L76" s="46">
        <v>2000</v>
      </c>
      <c r="M76" s="46">
        <v>2000</v>
      </c>
      <c r="N76" s="46">
        <v>2000</v>
      </c>
      <c r="O76" s="46">
        <v>2000</v>
      </c>
      <c r="P76" s="46">
        <v>2000</v>
      </c>
      <c r="Q76" s="47">
        <f>COUNT(Table5[[#This Row],[May''25]:[April''26]])</f>
        <v>12</v>
      </c>
      <c r="R76" s="38">
        <f t="shared" si="1"/>
        <v>24000</v>
      </c>
    </row>
    <row r="77" spans="1:18" x14ac:dyDescent="0.35">
      <c r="A77" s="39" t="s">
        <v>109</v>
      </c>
      <c r="B77" s="21">
        <v>202504074</v>
      </c>
      <c r="C77" s="45">
        <v>2</v>
      </c>
      <c r="D77" s="45">
        <v>2000</v>
      </c>
      <c r="E77" s="46">
        <v>0</v>
      </c>
      <c r="F77" s="46">
        <v>0</v>
      </c>
      <c r="G77" s="46">
        <v>0</v>
      </c>
      <c r="H77" s="46">
        <v>0</v>
      </c>
      <c r="I77" s="43">
        <v>10000</v>
      </c>
      <c r="J77" s="43">
        <v>2000</v>
      </c>
      <c r="K77" s="43">
        <v>2000</v>
      </c>
      <c r="L77" s="43">
        <v>2000</v>
      </c>
      <c r="M77" s="43">
        <v>2000</v>
      </c>
      <c r="N77" s="43">
        <v>2000</v>
      </c>
      <c r="O77" s="43">
        <v>2000</v>
      </c>
      <c r="P77" s="43">
        <v>2000</v>
      </c>
      <c r="Q77" s="47">
        <f>COUNT(Table5[[#This Row],[May''25]:[April''26]])</f>
        <v>12</v>
      </c>
      <c r="R77" s="38">
        <f t="shared" si="1"/>
        <v>24000</v>
      </c>
    </row>
    <row r="78" spans="1:18" x14ac:dyDescent="0.35">
      <c r="A78" s="39" t="s">
        <v>110</v>
      </c>
      <c r="B78" s="21">
        <v>202504075</v>
      </c>
      <c r="C78" s="45">
        <v>1</v>
      </c>
      <c r="D78" s="45">
        <v>1000</v>
      </c>
      <c r="E78" s="46">
        <v>0</v>
      </c>
      <c r="F78" s="46">
        <v>0</v>
      </c>
      <c r="G78" s="46">
        <v>0</v>
      </c>
      <c r="H78" s="46">
        <v>0</v>
      </c>
      <c r="I78" s="46">
        <v>8000</v>
      </c>
      <c r="J78" s="46">
        <v>0</v>
      </c>
      <c r="K78" s="46">
        <v>0</v>
      </c>
      <c r="L78" s="46">
        <v>0</v>
      </c>
      <c r="M78" s="6">
        <v>1000</v>
      </c>
      <c r="N78" s="6">
        <v>1000</v>
      </c>
      <c r="O78" s="6">
        <v>1000</v>
      </c>
      <c r="P78" s="6">
        <v>1000</v>
      </c>
      <c r="Q78" s="47">
        <f>COUNT(Table5[[#This Row],[May''25]:[April''26]])</f>
        <v>12</v>
      </c>
      <c r="R78" s="38">
        <f t="shared" si="1"/>
        <v>12000</v>
      </c>
    </row>
    <row r="79" spans="1:18" x14ac:dyDescent="0.35">
      <c r="A79" s="48" t="s">
        <v>111</v>
      </c>
      <c r="B79" s="21">
        <v>202504076</v>
      </c>
      <c r="C79" s="50">
        <v>2</v>
      </c>
      <c r="D79" s="50">
        <v>2000</v>
      </c>
      <c r="E79" s="46">
        <v>0</v>
      </c>
      <c r="F79" s="46">
        <v>0</v>
      </c>
      <c r="G79" s="46">
        <v>0</v>
      </c>
      <c r="H79" s="46">
        <v>0</v>
      </c>
      <c r="I79" s="56">
        <v>0</v>
      </c>
      <c r="J79" s="56">
        <v>12000</v>
      </c>
      <c r="K79" s="56">
        <v>2000</v>
      </c>
      <c r="L79" s="56">
        <v>2000</v>
      </c>
      <c r="M79" s="6">
        <v>2000</v>
      </c>
      <c r="N79" s="6">
        <v>2000</v>
      </c>
      <c r="O79" s="6">
        <v>2000</v>
      </c>
      <c r="P79" s="6">
        <v>2000</v>
      </c>
      <c r="Q79" s="58">
        <f>COUNT(Table5[[#This Row],[May''25]:[April''26]])</f>
        <v>12</v>
      </c>
      <c r="R79" s="38">
        <f t="shared" si="1"/>
        <v>24000</v>
      </c>
    </row>
    <row r="80" spans="1:18" x14ac:dyDescent="0.35">
      <c r="A80" s="48" t="s">
        <v>112</v>
      </c>
      <c r="B80" s="21">
        <v>202504077</v>
      </c>
      <c r="C80" s="50">
        <v>5</v>
      </c>
      <c r="D80" s="50">
        <v>5000</v>
      </c>
      <c r="E80" s="46">
        <v>0</v>
      </c>
      <c r="F80" s="46">
        <v>0</v>
      </c>
      <c r="G80" s="46">
        <v>0</v>
      </c>
      <c r="H80" s="46">
        <v>0</v>
      </c>
      <c r="I80" s="56">
        <v>0</v>
      </c>
      <c r="J80" s="56">
        <v>30000</v>
      </c>
      <c r="K80" s="56">
        <v>5000</v>
      </c>
      <c r="L80" s="56">
        <v>5000</v>
      </c>
      <c r="M80" s="6">
        <v>5000</v>
      </c>
      <c r="N80" s="6">
        <v>5000</v>
      </c>
      <c r="O80" s="6">
        <v>5000</v>
      </c>
      <c r="P80" s="6">
        <v>5000</v>
      </c>
      <c r="Q80" s="58">
        <f>COUNT(Table5[[#This Row],[May''25]:[April''26]])</f>
        <v>12</v>
      </c>
      <c r="R80" s="38">
        <f t="shared" si="1"/>
        <v>60000</v>
      </c>
    </row>
    <row r="81" spans="1:18" x14ac:dyDescent="0.35">
      <c r="A81" s="48" t="s">
        <v>113</v>
      </c>
      <c r="B81" s="21">
        <v>202504078</v>
      </c>
      <c r="C81" s="50">
        <v>5</v>
      </c>
      <c r="D81" s="50">
        <v>5000</v>
      </c>
      <c r="E81" s="56">
        <v>0</v>
      </c>
      <c r="F81" s="56">
        <v>0</v>
      </c>
      <c r="G81" s="56">
        <v>0</v>
      </c>
      <c r="H81" s="56">
        <v>0</v>
      </c>
      <c r="I81" s="56">
        <v>0</v>
      </c>
      <c r="J81" s="56">
        <v>0</v>
      </c>
      <c r="K81" s="56">
        <v>35000</v>
      </c>
      <c r="L81" s="56">
        <v>5000</v>
      </c>
      <c r="M81" s="6">
        <v>5000</v>
      </c>
      <c r="N81" s="6">
        <v>5000</v>
      </c>
      <c r="O81" s="6">
        <v>5000</v>
      </c>
      <c r="P81" s="6">
        <v>5000</v>
      </c>
      <c r="Q81" s="58">
        <f>COUNT(Table5[[#This Row],[May''25]:[April''26]])</f>
        <v>12</v>
      </c>
      <c r="R81" s="38">
        <f t="shared" si="1"/>
        <v>60000</v>
      </c>
    </row>
    <row r="82" spans="1:18" x14ac:dyDescent="0.35">
      <c r="A82" s="63" t="s">
        <v>115</v>
      </c>
      <c r="B82" s="21">
        <v>202504079</v>
      </c>
      <c r="C82" s="72">
        <v>1</v>
      </c>
      <c r="D82" s="72">
        <v>1000</v>
      </c>
      <c r="E82" s="73">
        <v>0</v>
      </c>
      <c r="F82" s="73">
        <v>0</v>
      </c>
      <c r="G82" s="73">
        <v>0</v>
      </c>
      <c r="H82" s="73">
        <v>0</v>
      </c>
      <c r="I82" s="73">
        <v>0</v>
      </c>
      <c r="J82" s="73">
        <v>0</v>
      </c>
      <c r="K82" s="73">
        <v>0</v>
      </c>
      <c r="L82" s="73">
        <v>8000</v>
      </c>
      <c r="M82" s="6">
        <v>1000</v>
      </c>
      <c r="N82" s="6">
        <v>1000</v>
      </c>
      <c r="O82" s="6">
        <v>1000</v>
      </c>
      <c r="P82" s="6">
        <v>1000</v>
      </c>
      <c r="Q82" s="75">
        <f>COUNT(Table5[[#This Row],[May''25]:[April''26]])</f>
        <v>12</v>
      </c>
      <c r="R82" s="38">
        <f t="shared" si="1"/>
        <v>12000</v>
      </c>
    </row>
    <row r="83" spans="1:18" x14ac:dyDescent="0.35">
      <c r="A83" s="63" t="s">
        <v>117</v>
      </c>
      <c r="B83" s="21">
        <v>202504080</v>
      </c>
      <c r="C83" s="72">
        <v>1</v>
      </c>
      <c r="D83" s="72">
        <v>1000</v>
      </c>
      <c r="E83" s="73">
        <v>0</v>
      </c>
      <c r="F83" s="73">
        <v>0</v>
      </c>
      <c r="G83" s="73">
        <v>0</v>
      </c>
      <c r="H83" s="73">
        <v>0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73">
        <v>11000</v>
      </c>
      <c r="P83" s="73">
        <v>1000</v>
      </c>
      <c r="Q83" s="75">
        <f>COUNT(Table5[[#This Row],[May''25]:[April''26]])</f>
        <v>12</v>
      </c>
      <c r="R83" s="38">
        <f t="shared" si="1"/>
        <v>12000</v>
      </c>
    </row>
    <row r="84" spans="1:18" x14ac:dyDescent="0.35">
      <c r="A84" s="77" t="s">
        <v>119</v>
      </c>
      <c r="B84" s="21">
        <v>202504080</v>
      </c>
      <c r="C84" s="72">
        <v>2</v>
      </c>
      <c r="D84" s="72">
        <v>2000</v>
      </c>
      <c r="E84" s="73">
        <v>0</v>
      </c>
      <c r="F84" s="73">
        <v>0</v>
      </c>
      <c r="G84" s="73">
        <v>0</v>
      </c>
      <c r="H84" s="73">
        <v>0</v>
      </c>
      <c r="I84" s="73">
        <v>0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73">
        <v>0</v>
      </c>
      <c r="P84" s="73">
        <v>24000</v>
      </c>
      <c r="Q84" s="75">
        <f>COUNT(Table5[[#This Row],[May''25]:[April''26]])</f>
        <v>12</v>
      </c>
      <c r="R84" s="38">
        <f t="shared" si="1"/>
        <v>24000</v>
      </c>
    </row>
    <row r="85" spans="1:18" x14ac:dyDescent="0.35">
      <c r="A85" s="63"/>
      <c r="B85" s="64"/>
      <c r="C85" s="72"/>
      <c r="D85" s="72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5">
        <f>COUNT(Table5[[#This Row],[May''25]:[April''26]])</f>
        <v>0</v>
      </c>
      <c r="R85" s="38">
        <f t="shared" si="1"/>
        <v>0</v>
      </c>
    </row>
    <row r="86" spans="1:18" ht="18.5" x14ac:dyDescent="0.45">
      <c r="A86" s="5"/>
      <c r="B86" s="5"/>
      <c r="C86" s="5">
        <f>SUM(C4:C85)</f>
        <v>147</v>
      </c>
      <c r="D86" s="5">
        <f>SUM(D4:D85)</f>
        <v>147000</v>
      </c>
      <c r="E86" s="5">
        <f t="shared" ref="E86:H86" si="2">SUM(E4:E85)</f>
        <v>117000</v>
      </c>
      <c r="F86" s="5">
        <f t="shared" si="2"/>
        <v>121000</v>
      </c>
      <c r="G86" s="5">
        <f t="shared" si="2"/>
        <v>134000</v>
      </c>
      <c r="H86" s="5">
        <f t="shared" si="2"/>
        <v>114000</v>
      </c>
      <c r="I86" s="5">
        <f>SUM(I4:I85)</f>
        <v>142000</v>
      </c>
      <c r="J86" s="5">
        <f t="shared" ref="J86" si="3">SUM(J4:J85)</f>
        <v>160000</v>
      </c>
      <c r="K86" s="5">
        <f t="shared" ref="K86" si="4">SUM(K4:K85)</f>
        <v>162000</v>
      </c>
      <c r="L86" s="5">
        <f>SUM(L4:L85)</f>
        <v>154000</v>
      </c>
      <c r="M86" s="5">
        <f t="shared" ref="M86" si="5">SUM(M4:M85)</f>
        <v>123000</v>
      </c>
      <c r="N86" s="5">
        <f t="shared" ref="N86" si="6">SUM(N4:N85)</f>
        <v>151000</v>
      </c>
      <c r="O86" s="5">
        <f t="shared" ref="O86" si="7">SUM(O4:O85)</f>
        <v>187000</v>
      </c>
      <c r="P86" s="5">
        <f>SUM(P4:P85)</f>
        <v>203000</v>
      </c>
      <c r="Q86" s="5"/>
      <c r="R86" s="59">
        <f>SUM(R4:R85)</f>
        <v>1768000</v>
      </c>
    </row>
  </sheetData>
  <mergeCells count="1">
    <mergeCell ref="A1:R2"/>
  </mergeCells>
  <pageMargins left="0.7" right="0.7" top="0.75" bottom="0.75" header="0.3" footer="0.3"/>
  <pageSetup scale="75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61"/>
  <sheetViews>
    <sheetView tabSelected="1" zoomScale="88" zoomScaleNormal="88" workbookViewId="0">
      <pane xSplit="6" ySplit="5" topLeftCell="Y6" activePane="bottomRight" state="frozen"/>
      <selection pane="topRight" activeCell="G1" sqref="G1"/>
      <selection pane="bottomLeft" activeCell="A6" sqref="A6"/>
      <selection pane="bottomRight" sqref="A1:AD2"/>
    </sheetView>
  </sheetViews>
  <sheetFormatPr defaultRowHeight="14.5" x14ac:dyDescent="0.35"/>
  <cols>
    <col min="1" max="1" width="27.453125" bestFit="1" customWidth="1"/>
    <col min="2" max="2" width="11.81640625" bestFit="1" customWidth="1"/>
    <col min="3" max="3" width="18" bestFit="1" customWidth="1"/>
    <col min="4" max="4" width="14" style="8" customWidth="1"/>
    <col min="5" max="5" width="12.81640625" customWidth="1"/>
    <col min="6" max="6" width="12.1796875" customWidth="1"/>
    <col min="7" max="7" width="12.81640625" style="23" customWidth="1"/>
    <col min="8" max="8" width="23.1796875" style="23" customWidth="1"/>
    <col min="9" max="9" width="14.26953125" customWidth="1"/>
    <col min="10" max="10" width="13.81640625" style="23" bestFit="1" customWidth="1"/>
    <col min="11" max="11" width="12.26953125" style="23" bestFit="1" customWidth="1"/>
    <col min="12" max="12" width="14.54296875" style="23" bestFit="1" customWidth="1"/>
    <col min="15" max="15" width="11.1796875" customWidth="1"/>
    <col min="16" max="16" width="10.1796875" customWidth="1"/>
    <col min="17" max="18" width="9.1796875" bestFit="1" customWidth="1"/>
    <col min="19" max="19" width="10.1796875" customWidth="1"/>
    <col min="20" max="20" width="9" customWidth="1"/>
    <col min="23" max="23" width="9.1796875" bestFit="1" customWidth="1"/>
    <col min="24" max="24" width="10.54296875" customWidth="1"/>
    <col min="25" max="25" width="13.26953125" style="23" bestFit="1" customWidth="1"/>
    <col min="26" max="26" width="16.54296875" style="23" bestFit="1" customWidth="1"/>
    <col min="27" max="27" width="13.7265625" bestFit="1" customWidth="1"/>
    <col min="28" max="28" width="14.81640625" style="16" bestFit="1" customWidth="1"/>
    <col min="29" max="29" width="14.81640625" style="16" customWidth="1"/>
    <col min="30" max="30" width="14.1796875" style="23" bestFit="1" customWidth="1"/>
  </cols>
  <sheetData>
    <row r="1" spans="1:30" ht="14.5" customHeight="1" x14ac:dyDescent="0.35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</row>
    <row r="2" spans="1:30" ht="14.5" customHeight="1" x14ac:dyDescent="0.3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</row>
    <row r="3" spans="1:30" ht="49.5" customHeight="1" x14ac:dyDescent="0.6">
      <c r="A3" s="95" t="s">
        <v>106</v>
      </c>
      <c r="B3" s="96"/>
      <c r="C3" s="102" t="s">
        <v>30</v>
      </c>
      <c r="D3" s="95"/>
      <c r="E3" s="95"/>
      <c r="F3" s="95"/>
      <c r="G3" s="95"/>
      <c r="H3" s="96"/>
      <c r="I3" s="97" t="s">
        <v>36</v>
      </c>
      <c r="J3" s="98"/>
      <c r="K3" s="99"/>
      <c r="L3" s="100" t="s">
        <v>33</v>
      </c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 spans="1:30" ht="43.5" x14ac:dyDescent="0.35">
      <c r="A4" s="1" t="s">
        <v>0</v>
      </c>
      <c r="B4" s="1" t="s">
        <v>98</v>
      </c>
      <c r="C4" s="1" t="s">
        <v>37</v>
      </c>
      <c r="D4" s="7" t="s">
        <v>31</v>
      </c>
      <c r="E4" s="7" t="s">
        <v>41</v>
      </c>
      <c r="F4" s="1" t="s">
        <v>32</v>
      </c>
      <c r="G4" s="24" t="s">
        <v>35</v>
      </c>
      <c r="H4" s="24" t="s">
        <v>107</v>
      </c>
      <c r="I4" s="10" t="s">
        <v>28</v>
      </c>
      <c r="J4" s="24" t="s">
        <v>99</v>
      </c>
      <c r="K4" s="24" t="s">
        <v>34</v>
      </c>
      <c r="L4" s="24" t="s">
        <v>100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28" t="s">
        <v>29</v>
      </c>
      <c r="Z4" s="28" t="s">
        <v>114</v>
      </c>
      <c r="AA4" s="15" t="s">
        <v>101</v>
      </c>
      <c r="AB4" s="2" t="s">
        <v>102</v>
      </c>
      <c r="AC4" s="15" t="s">
        <v>103</v>
      </c>
      <c r="AD4" s="24" t="s">
        <v>123</v>
      </c>
    </row>
    <row r="5" spans="1:30" x14ac:dyDescent="0.35">
      <c r="A5" s="9">
        <v>2</v>
      </c>
      <c r="B5" s="9">
        <v>3</v>
      </c>
      <c r="C5" s="9">
        <v>8</v>
      </c>
      <c r="D5" s="9">
        <v>9</v>
      </c>
      <c r="E5" s="9">
        <v>10</v>
      </c>
      <c r="F5" s="9">
        <v>11</v>
      </c>
      <c r="G5" s="25">
        <v>13</v>
      </c>
      <c r="H5" s="25">
        <v>14</v>
      </c>
      <c r="I5" s="9">
        <v>15</v>
      </c>
      <c r="J5" s="25">
        <v>16</v>
      </c>
      <c r="K5" s="25">
        <v>17</v>
      </c>
      <c r="L5" s="25">
        <v>18</v>
      </c>
      <c r="M5" s="9">
        <v>19</v>
      </c>
      <c r="N5" s="9">
        <v>20</v>
      </c>
      <c r="O5" s="9">
        <v>21</v>
      </c>
      <c r="P5" s="9">
        <v>22</v>
      </c>
      <c r="Q5" s="9">
        <v>23</v>
      </c>
      <c r="R5" s="9">
        <v>24</v>
      </c>
      <c r="S5" s="9">
        <v>25</v>
      </c>
      <c r="T5" s="9">
        <v>26</v>
      </c>
      <c r="U5" s="9">
        <v>27</v>
      </c>
      <c r="V5" s="9">
        <v>28</v>
      </c>
      <c r="W5" s="9">
        <v>29</v>
      </c>
      <c r="X5" s="9">
        <v>30</v>
      </c>
      <c r="Y5" s="25">
        <v>31</v>
      </c>
      <c r="Z5" s="25">
        <v>32</v>
      </c>
      <c r="AA5" s="25">
        <v>33</v>
      </c>
      <c r="AB5" s="25">
        <v>34</v>
      </c>
      <c r="AC5" s="25">
        <v>35</v>
      </c>
      <c r="AD5" s="25">
        <v>37</v>
      </c>
    </row>
    <row r="6" spans="1:30" x14ac:dyDescent="0.35">
      <c r="A6" s="13" t="s">
        <v>60</v>
      </c>
      <c r="B6" s="21">
        <v>202504004</v>
      </c>
      <c r="C6" s="3" t="s">
        <v>38</v>
      </c>
      <c r="D6" s="22">
        <v>45904</v>
      </c>
      <c r="E6" s="22">
        <v>46122</v>
      </c>
      <c r="F6" s="3">
        <v>50000</v>
      </c>
      <c r="G6" s="26">
        <v>1250</v>
      </c>
      <c r="H6" s="26">
        <v>51250</v>
      </c>
      <c r="I6" s="3">
        <v>3</v>
      </c>
      <c r="J6" s="26">
        <v>16666.666666666664</v>
      </c>
      <c r="K6" s="26">
        <v>416.66666666666669</v>
      </c>
      <c r="L6" s="26">
        <v>17083.333333333332</v>
      </c>
      <c r="M6" s="6"/>
      <c r="N6" s="6"/>
      <c r="O6" s="6"/>
      <c r="P6" s="6"/>
      <c r="Q6" s="6"/>
      <c r="R6" s="6">
        <v>6670</v>
      </c>
      <c r="S6" s="6">
        <v>6670</v>
      </c>
      <c r="T6" s="6">
        <v>37910</v>
      </c>
      <c r="U6" s="6"/>
      <c r="V6" s="6"/>
      <c r="W6" s="6"/>
      <c r="X6" s="6"/>
      <c r="Y6" s="29">
        <v>3</v>
      </c>
      <c r="Z6" s="29">
        <v>50000</v>
      </c>
      <c r="AA6" s="29">
        <v>1250</v>
      </c>
      <c r="AB6" s="32">
        <v>51250</v>
      </c>
      <c r="AC6" s="31">
        <v>0</v>
      </c>
      <c r="AD6" s="29">
        <v>0</v>
      </c>
    </row>
    <row r="7" spans="1:30" x14ac:dyDescent="0.35">
      <c r="A7" s="13" t="s">
        <v>80</v>
      </c>
      <c r="B7" s="21">
        <v>202504012</v>
      </c>
      <c r="C7" s="3" t="s">
        <v>39</v>
      </c>
      <c r="D7" s="22">
        <v>46033</v>
      </c>
      <c r="E7" s="22">
        <v>46122</v>
      </c>
      <c r="F7" s="3">
        <v>180000</v>
      </c>
      <c r="G7" s="26">
        <v>9000</v>
      </c>
      <c r="H7" s="26">
        <v>189000</v>
      </c>
      <c r="I7" s="3">
        <v>1</v>
      </c>
      <c r="J7" s="26">
        <v>180000</v>
      </c>
      <c r="K7" s="26">
        <v>9000</v>
      </c>
      <c r="L7" s="26">
        <v>189000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189000</v>
      </c>
      <c r="Y7" s="29">
        <v>1</v>
      </c>
      <c r="Z7" s="29">
        <v>180000</v>
      </c>
      <c r="AA7" s="29">
        <v>9000</v>
      </c>
      <c r="AB7" s="32">
        <v>189000</v>
      </c>
      <c r="AC7" s="31">
        <v>0</v>
      </c>
      <c r="AD7" s="29">
        <v>0</v>
      </c>
    </row>
    <row r="8" spans="1:30" x14ac:dyDescent="0.35">
      <c r="A8" s="79"/>
      <c r="B8" s="80"/>
      <c r="C8" s="81"/>
      <c r="D8" s="22">
        <v>46122</v>
      </c>
      <c r="E8" s="82"/>
      <c r="F8" s="81">
        <v>180000</v>
      </c>
      <c r="G8" s="26">
        <v>9000</v>
      </c>
      <c r="H8" s="83">
        <v>190800</v>
      </c>
      <c r="I8" s="81">
        <v>1</v>
      </c>
      <c r="J8" s="26">
        <v>181800</v>
      </c>
      <c r="K8" s="26">
        <v>9000</v>
      </c>
      <c r="L8" s="26">
        <v>190800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29">
        <v>0</v>
      </c>
      <c r="Z8" s="29">
        <v>0</v>
      </c>
      <c r="AA8" s="29">
        <v>0</v>
      </c>
      <c r="AB8" s="32">
        <v>0</v>
      </c>
      <c r="AC8" s="86">
        <v>180000</v>
      </c>
      <c r="AD8" s="29">
        <v>190800</v>
      </c>
    </row>
    <row r="9" spans="1:30" x14ac:dyDescent="0.35">
      <c r="A9" s="79"/>
      <c r="B9" s="80"/>
      <c r="C9" s="81"/>
      <c r="D9" s="22">
        <v>46122</v>
      </c>
      <c r="E9" s="82"/>
      <c r="F9" s="81">
        <v>120000</v>
      </c>
      <c r="G9" s="26">
        <v>12600</v>
      </c>
      <c r="H9" s="83">
        <v>133800</v>
      </c>
      <c r="I9" s="81">
        <v>1</v>
      </c>
      <c r="J9" s="26">
        <v>121200</v>
      </c>
      <c r="K9" s="26">
        <v>12600</v>
      </c>
      <c r="L9" s="26">
        <v>133800</v>
      </c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29">
        <v>0</v>
      </c>
      <c r="Z9" s="29">
        <v>0</v>
      </c>
      <c r="AA9" s="29">
        <v>0</v>
      </c>
      <c r="AB9" s="32">
        <v>0</v>
      </c>
      <c r="AC9" s="86">
        <v>120000</v>
      </c>
      <c r="AD9" s="29">
        <v>133800</v>
      </c>
    </row>
    <row r="10" spans="1:30" x14ac:dyDescent="0.35">
      <c r="A10" s="13" t="s">
        <v>96</v>
      </c>
      <c r="B10" s="21">
        <v>202504015</v>
      </c>
      <c r="C10" s="3" t="s">
        <v>38</v>
      </c>
      <c r="D10" s="22">
        <v>46028</v>
      </c>
      <c r="E10" s="22">
        <v>46397</v>
      </c>
      <c r="F10" s="19">
        <v>10000</v>
      </c>
      <c r="G10" s="26">
        <v>650</v>
      </c>
      <c r="H10" s="26">
        <v>10650</v>
      </c>
      <c r="I10" s="3">
        <v>12</v>
      </c>
      <c r="J10" s="26">
        <v>833.33333333333337</v>
      </c>
      <c r="K10" s="26">
        <v>54.166666666666664</v>
      </c>
      <c r="L10" s="26">
        <v>887.5</v>
      </c>
      <c r="M10" s="20"/>
      <c r="N10" s="20"/>
      <c r="O10" s="20"/>
      <c r="P10" s="20"/>
      <c r="Q10" s="20"/>
      <c r="R10" s="20"/>
      <c r="S10" s="20"/>
      <c r="T10" s="20"/>
      <c r="U10" s="20"/>
      <c r="V10" s="20">
        <v>900</v>
      </c>
      <c r="W10" s="20">
        <v>900</v>
      </c>
      <c r="X10" s="20">
        <v>1000</v>
      </c>
      <c r="Y10" s="29">
        <v>3</v>
      </c>
      <c r="Z10" s="29">
        <v>2637.5</v>
      </c>
      <c r="AA10" s="29">
        <v>162.5</v>
      </c>
      <c r="AB10" s="32">
        <v>2800</v>
      </c>
      <c r="AC10" s="31">
        <v>7362.5</v>
      </c>
      <c r="AD10" s="29">
        <v>7850</v>
      </c>
    </row>
    <row r="11" spans="1:30" x14ac:dyDescent="0.35">
      <c r="A11" s="4"/>
      <c r="B11" s="88"/>
      <c r="C11" s="3"/>
      <c r="D11" s="22">
        <v>46122</v>
      </c>
      <c r="E11" s="37"/>
      <c r="F11" s="3">
        <v>10000</v>
      </c>
      <c r="G11" s="26">
        <v>100</v>
      </c>
      <c r="H11" s="26">
        <v>10100</v>
      </c>
      <c r="I11" s="3">
        <v>1</v>
      </c>
      <c r="J11" s="26">
        <v>10100</v>
      </c>
      <c r="K11" s="26">
        <v>0</v>
      </c>
      <c r="L11" s="26">
        <v>10100</v>
      </c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29">
        <v>0</v>
      </c>
      <c r="Z11" s="29">
        <v>0</v>
      </c>
      <c r="AA11" s="29">
        <v>0</v>
      </c>
      <c r="AB11" s="32">
        <v>0</v>
      </c>
      <c r="AC11" s="32">
        <v>10000</v>
      </c>
      <c r="AD11" s="29">
        <v>10000</v>
      </c>
    </row>
    <row r="12" spans="1:30" x14ac:dyDescent="0.35">
      <c r="A12" s="14" t="s">
        <v>44</v>
      </c>
      <c r="B12" s="21">
        <v>202504016</v>
      </c>
      <c r="C12" s="19" t="s">
        <v>38</v>
      </c>
      <c r="D12" s="35">
        <v>45810</v>
      </c>
      <c r="E12" s="35">
        <v>46183</v>
      </c>
      <c r="F12" s="19">
        <v>50000</v>
      </c>
      <c r="G12" s="26">
        <v>4117</v>
      </c>
      <c r="H12" s="26">
        <v>54117</v>
      </c>
      <c r="I12" s="3">
        <v>12</v>
      </c>
      <c r="J12" s="26">
        <v>4166.666666666667</v>
      </c>
      <c r="K12" s="26">
        <v>343.08333333333331</v>
      </c>
      <c r="L12" s="26">
        <v>4509.75</v>
      </c>
      <c r="M12" s="20"/>
      <c r="N12" s="20"/>
      <c r="O12" s="20">
        <v>4583</v>
      </c>
      <c r="P12" s="20">
        <v>4583</v>
      </c>
      <c r="Q12" s="60">
        <v>0</v>
      </c>
      <c r="R12" s="20">
        <v>4500</v>
      </c>
      <c r="S12" s="20">
        <v>9000</v>
      </c>
      <c r="T12" s="60">
        <v>0</v>
      </c>
      <c r="U12" s="20">
        <v>9000</v>
      </c>
      <c r="V12" s="60"/>
      <c r="W12" s="20">
        <v>4500</v>
      </c>
      <c r="X12" s="20">
        <v>17947</v>
      </c>
      <c r="Y12" s="29">
        <v>9</v>
      </c>
      <c r="Z12" s="29">
        <v>50000</v>
      </c>
      <c r="AA12" s="29">
        <v>4116.75</v>
      </c>
      <c r="AB12" s="32">
        <v>54113</v>
      </c>
      <c r="AC12" s="31"/>
      <c r="AD12" s="29"/>
    </row>
    <row r="13" spans="1:30" x14ac:dyDescent="0.35">
      <c r="A13" s="13" t="s">
        <v>94</v>
      </c>
      <c r="B13" s="21">
        <v>202504017</v>
      </c>
      <c r="C13" s="19" t="s">
        <v>39</v>
      </c>
      <c r="D13" s="35">
        <v>45837</v>
      </c>
      <c r="E13" s="35">
        <v>45868</v>
      </c>
      <c r="F13" s="19">
        <v>10000</v>
      </c>
      <c r="G13" s="26">
        <v>1000</v>
      </c>
      <c r="H13" s="26">
        <v>11000</v>
      </c>
      <c r="I13" s="3">
        <v>1</v>
      </c>
      <c r="J13" s="26">
        <v>10000</v>
      </c>
      <c r="K13" s="26">
        <v>1000</v>
      </c>
      <c r="L13" s="26">
        <v>11000</v>
      </c>
      <c r="M13" s="20"/>
      <c r="N13" s="20"/>
      <c r="O13" s="20"/>
      <c r="P13" s="20">
        <v>11000</v>
      </c>
      <c r="Q13" s="20"/>
      <c r="R13" s="20"/>
      <c r="S13" s="20"/>
      <c r="T13" s="20"/>
      <c r="U13" s="20"/>
      <c r="V13" s="20"/>
      <c r="W13" s="20"/>
      <c r="X13" s="20"/>
      <c r="Y13" s="29">
        <v>1</v>
      </c>
      <c r="Z13" s="29">
        <v>10000</v>
      </c>
      <c r="AA13" s="29">
        <v>1000</v>
      </c>
      <c r="AB13" s="32">
        <v>11000</v>
      </c>
      <c r="AC13" s="31">
        <v>0</v>
      </c>
      <c r="AD13" s="29">
        <v>0</v>
      </c>
    </row>
    <row r="14" spans="1:30" x14ac:dyDescent="0.35">
      <c r="A14" s="14" t="s">
        <v>4</v>
      </c>
      <c r="B14" s="21">
        <v>202504019</v>
      </c>
      <c r="C14" s="19" t="s">
        <v>39</v>
      </c>
      <c r="D14" s="35">
        <v>45837</v>
      </c>
      <c r="E14" s="34">
        <v>45940</v>
      </c>
      <c r="F14" s="19">
        <v>200000</v>
      </c>
      <c r="G14" s="26">
        <v>12500</v>
      </c>
      <c r="H14" s="26">
        <v>212500</v>
      </c>
      <c r="I14" s="3">
        <v>1</v>
      </c>
      <c r="J14" s="26">
        <v>200000</v>
      </c>
      <c r="K14" s="26">
        <v>12500</v>
      </c>
      <c r="L14" s="26">
        <v>212500</v>
      </c>
      <c r="M14" s="20"/>
      <c r="N14" s="20"/>
      <c r="O14" s="20"/>
      <c r="P14" s="20"/>
      <c r="Q14" s="20"/>
      <c r="R14" s="20">
        <v>212500</v>
      </c>
      <c r="S14" s="20"/>
      <c r="T14" s="20"/>
      <c r="U14" s="20"/>
      <c r="V14" s="20"/>
      <c r="W14" s="20"/>
      <c r="X14" s="20"/>
      <c r="Y14" s="29">
        <v>1</v>
      </c>
      <c r="Z14" s="29">
        <v>200000</v>
      </c>
      <c r="AA14" s="29">
        <v>12500</v>
      </c>
      <c r="AB14" s="32">
        <v>212500</v>
      </c>
      <c r="AC14" s="31">
        <v>0</v>
      </c>
      <c r="AD14" s="29">
        <v>0</v>
      </c>
    </row>
    <row r="15" spans="1:30" x14ac:dyDescent="0.35">
      <c r="A15" s="56"/>
      <c r="B15" s="49"/>
      <c r="C15" s="52" t="s">
        <v>39</v>
      </c>
      <c r="D15" s="34">
        <v>45940</v>
      </c>
      <c r="E15" s="34">
        <v>46032</v>
      </c>
      <c r="F15" s="52">
        <v>200000</v>
      </c>
      <c r="G15" s="26">
        <v>10000</v>
      </c>
      <c r="H15" s="26">
        <v>210000</v>
      </c>
      <c r="I15" s="52">
        <v>1</v>
      </c>
      <c r="J15" s="26">
        <v>200000</v>
      </c>
      <c r="K15" s="26">
        <v>10000</v>
      </c>
      <c r="L15" s="26">
        <v>210000</v>
      </c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>
        <v>210000</v>
      </c>
      <c r="X15" s="51"/>
      <c r="Y15" s="29">
        <v>1</v>
      </c>
      <c r="Z15" s="29">
        <v>200000</v>
      </c>
      <c r="AA15" s="29">
        <v>10000</v>
      </c>
      <c r="AB15" s="32">
        <v>210000</v>
      </c>
      <c r="AC15" s="31">
        <v>0</v>
      </c>
      <c r="AD15" s="29">
        <v>0</v>
      </c>
    </row>
    <row r="16" spans="1:30" x14ac:dyDescent="0.35">
      <c r="A16" s="13" t="s">
        <v>122</v>
      </c>
      <c r="B16" s="21">
        <v>202504020</v>
      </c>
      <c r="C16" s="19"/>
      <c r="D16" s="22"/>
      <c r="E16" s="22"/>
      <c r="F16" s="19">
        <v>500000</v>
      </c>
      <c r="G16" s="26">
        <v>112500</v>
      </c>
      <c r="H16" s="26">
        <v>612500</v>
      </c>
      <c r="I16" s="3">
        <v>48</v>
      </c>
      <c r="J16" s="26">
        <v>10416.666666666666</v>
      </c>
      <c r="K16" s="26">
        <v>2343.75</v>
      </c>
      <c r="L16" s="26">
        <v>12760.416666666666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9">
        <v>0</v>
      </c>
      <c r="Z16" s="29">
        <v>0</v>
      </c>
      <c r="AA16" s="29">
        <v>0</v>
      </c>
      <c r="AB16" s="32">
        <v>0</v>
      </c>
      <c r="AC16" s="31">
        <v>500000</v>
      </c>
      <c r="AD16" s="29">
        <v>612500</v>
      </c>
    </row>
    <row r="17" spans="1:30" x14ac:dyDescent="0.35">
      <c r="A17" s="13" t="s">
        <v>69</v>
      </c>
      <c r="B17" s="21">
        <v>202504021</v>
      </c>
      <c r="C17" s="19" t="s">
        <v>38</v>
      </c>
      <c r="D17" s="22">
        <v>45790</v>
      </c>
      <c r="E17" s="22">
        <v>45971</v>
      </c>
      <c r="F17" s="19">
        <v>20000</v>
      </c>
      <c r="G17" s="26">
        <v>1000</v>
      </c>
      <c r="H17" s="26">
        <v>21000</v>
      </c>
      <c r="I17" s="3">
        <v>6</v>
      </c>
      <c r="J17" s="26">
        <v>3333.3333333333335</v>
      </c>
      <c r="K17" s="26">
        <v>166.66666666666666</v>
      </c>
      <c r="L17" s="26">
        <v>3500</v>
      </c>
      <c r="M17" s="20"/>
      <c r="N17" s="20">
        <v>3500</v>
      </c>
      <c r="O17" s="20">
        <v>3500</v>
      </c>
      <c r="P17" s="20">
        <v>3500</v>
      </c>
      <c r="Q17" s="20">
        <v>3500</v>
      </c>
      <c r="R17" s="20">
        <v>3500</v>
      </c>
      <c r="S17" s="20">
        <v>3500</v>
      </c>
      <c r="T17" s="20"/>
      <c r="U17" s="20"/>
      <c r="V17" s="20"/>
      <c r="W17" s="20"/>
      <c r="X17" s="20"/>
      <c r="Y17" s="29">
        <v>6</v>
      </c>
      <c r="Z17" s="29">
        <v>20000</v>
      </c>
      <c r="AA17" s="29">
        <v>1000</v>
      </c>
      <c r="AB17" s="32">
        <v>21000</v>
      </c>
      <c r="AC17" s="31">
        <v>0</v>
      </c>
      <c r="AD17" s="29">
        <v>0</v>
      </c>
    </row>
    <row r="18" spans="1:30" x14ac:dyDescent="0.35">
      <c r="A18" s="63"/>
      <c r="B18" s="64"/>
      <c r="C18" s="65" t="s">
        <v>38</v>
      </c>
      <c r="D18" s="22">
        <v>46033</v>
      </c>
      <c r="E18" s="35">
        <v>46183</v>
      </c>
      <c r="F18" s="65">
        <v>50000</v>
      </c>
      <c r="G18" s="26">
        <v>3250</v>
      </c>
      <c r="H18" s="68">
        <v>53750</v>
      </c>
      <c r="I18" s="65">
        <v>6</v>
      </c>
      <c r="J18" s="26">
        <v>8416.6666666666679</v>
      </c>
      <c r="K18" s="26">
        <v>541.66666666666663</v>
      </c>
      <c r="L18" s="26">
        <v>8958.3333333333339</v>
      </c>
      <c r="M18" s="69"/>
      <c r="N18" s="69"/>
      <c r="O18" s="69"/>
      <c r="P18" s="69"/>
      <c r="Q18" s="69"/>
      <c r="R18" s="69"/>
      <c r="S18" s="69"/>
      <c r="T18" s="69"/>
      <c r="U18" s="69"/>
      <c r="V18" s="69">
        <v>4450</v>
      </c>
      <c r="W18" s="69">
        <v>4450</v>
      </c>
      <c r="X18" s="69">
        <v>4450</v>
      </c>
      <c r="Y18" s="29">
        <v>3</v>
      </c>
      <c r="Z18" s="29">
        <v>11725</v>
      </c>
      <c r="AA18" s="29">
        <v>1625</v>
      </c>
      <c r="AB18" s="32">
        <v>13350</v>
      </c>
      <c r="AC18" s="71">
        <v>38275</v>
      </c>
      <c r="AD18" s="29">
        <v>40400</v>
      </c>
    </row>
    <row r="19" spans="1:30" x14ac:dyDescent="0.35">
      <c r="A19" s="13" t="s">
        <v>78</v>
      </c>
      <c r="B19" s="21">
        <v>202504022</v>
      </c>
      <c r="C19" s="19"/>
      <c r="D19" s="22"/>
      <c r="E19" s="22"/>
      <c r="F19" s="19"/>
      <c r="G19" s="26">
        <v>0</v>
      </c>
      <c r="H19" s="26">
        <v>0</v>
      </c>
      <c r="I19" s="3">
        <v>1</v>
      </c>
      <c r="J19" s="26">
        <v>0</v>
      </c>
      <c r="K19" s="26">
        <v>0</v>
      </c>
      <c r="L19" s="26">
        <v>0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9">
        <v>0</v>
      </c>
      <c r="Z19" s="29">
        <v>0</v>
      </c>
      <c r="AA19" s="29">
        <v>0</v>
      </c>
      <c r="AB19" s="32">
        <v>0</v>
      </c>
      <c r="AC19" s="31">
        <v>0</v>
      </c>
      <c r="AD19" s="29">
        <v>0</v>
      </c>
    </row>
    <row r="20" spans="1:30" x14ac:dyDescent="0.35">
      <c r="A20" s="13" t="s">
        <v>70</v>
      </c>
      <c r="B20" s="21">
        <v>202504023</v>
      </c>
      <c r="C20" s="19" t="s">
        <v>38</v>
      </c>
      <c r="D20" s="34">
        <v>45876</v>
      </c>
      <c r="E20" s="36">
        <v>45971</v>
      </c>
      <c r="F20" s="19">
        <v>30000</v>
      </c>
      <c r="G20" s="26">
        <v>750</v>
      </c>
      <c r="H20" s="26">
        <v>30750</v>
      </c>
      <c r="I20" s="3">
        <v>3</v>
      </c>
      <c r="J20" s="26">
        <v>10000</v>
      </c>
      <c r="K20" s="26">
        <v>250</v>
      </c>
      <c r="L20" s="26">
        <v>10250</v>
      </c>
      <c r="M20" s="20"/>
      <c r="N20" s="20"/>
      <c r="O20" s="20"/>
      <c r="P20" s="20"/>
      <c r="Q20" s="20">
        <v>10250</v>
      </c>
      <c r="R20" s="20">
        <v>10250</v>
      </c>
      <c r="S20" s="20">
        <v>10250</v>
      </c>
      <c r="T20" s="20"/>
      <c r="U20" s="20"/>
      <c r="V20" s="20"/>
      <c r="W20" s="20"/>
      <c r="X20" s="20"/>
      <c r="Y20" s="29">
        <v>3</v>
      </c>
      <c r="Z20" s="29">
        <v>30000</v>
      </c>
      <c r="AA20" s="29">
        <v>750</v>
      </c>
      <c r="AB20" s="32">
        <v>30750</v>
      </c>
      <c r="AC20" s="31">
        <v>0</v>
      </c>
      <c r="AD20" s="29">
        <v>0</v>
      </c>
    </row>
    <row r="21" spans="1:30" x14ac:dyDescent="0.35">
      <c r="A21" s="13" t="s">
        <v>1</v>
      </c>
      <c r="B21" s="21">
        <v>202504025</v>
      </c>
      <c r="C21" s="3" t="s">
        <v>39</v>
      </c>
      <c r="D21" s="22">
        <v>46033</v>
      </c>
      <c r="E21" s="22">
        <v>46213</v>
      </c>
      <c r="F21" s="19">
        <v>40000</v>
      </c>
      <c r="G21" s="26">
        <v>4200</v>
      </c>
      <c r="H21" s="26">
        <v>44200</v>
      </c>
      <c r="I21" s="3">
        <v>1</v>
      </c>
      <c r="J21" s="26">
        <v>40000</v>
      </c>
      <c r="K21" s="26">
        <v>4200</v>
      </c>
      <c r="L21" s="26">
        <v>44200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9">
        <v>0</v>
      </c>
      <c r="Z21" s="29">
        <v>0</v>
      </c>
      <c r="AA21" s="29">
        <v>0</v>
      </c>
      <c r="AB21" s="32">
        <v>0</v>
      </c>
      <c r="AC21" s="31">
        <v>40000</v>
      </c>
      <c r="AD21" s="29">
        <v>44200</v>
      </c>
    </row>
    <row r="22" spans="1:30" x14ac:dyDescent="0.35">
      <c r="A22" s="13" t="s">
        <v>3</v>
      </c>
      <c r="B22" s="21">
        <v>202504026</v>
      </c>
      <c r="C22" s="19" t="s">
        <v>39</v>
      </c>
      <c r="D22" s="22">
        <v>45790</v>
      </c>
      <c r="E22" s="22">
        <v>45971</v>
      </c>
      <c r="F22" s="19">
        <v>50000</v>
      </c>
      <c r="G22" s="26">
        <v>6250</v>
      </c>
      <c r="H22" s="26">
        <v>56250</v>
      </c>
      <c r="I22" s="3">
        <v>1</v>
      </c>
      <c r="J22" s="26">
        <v>50000</v>
      </c>
      <c r="K22" s="26">
        <v>6250</v>
      </c>
      <c r="L22" s="26">
        <v>56250</v>
      </c>
      <c r="M22" s="20"/>
      <c r="N22" s="20"/>
      <c r="O22" s="20"/>
      <c r="P22" s="20"/>
      <c r="Q22" s="20"/>
      <c r="R22" s="20"/>
      <c r="S22" s="20">
        <v>56250</v>
      </c>
      <c r="T22" s="20"/>
      <c r="U22" s="20"/>
      <c r="V22" s="20"/>
      <c r="W22" s="20"/>
      <c r="X22" s="20"/>
      <c r="Y22" s="29">
        <v>1</v>
      </c>
      <c r="Z22" s="29">
        <v>50000</v>
      </c>
      <c r="AA22" s="29">
        <v>6250</v>
      </c>
      <c r="AB22" s="32">
        <v>56250</v>
      </c>
      <c r="AC22" s="31">
        <v>0</v>
      </c>
      <c r="AD22" s="29">
        <v>0</v>
      </c>
    </row>
    <row r="23" spans="1:30" x14ac:dyDescent="0.35">
      <c r="A23" s="63"/>
      <c r="B23" s="64"/>
      <c r="C23" s="65"/>
      <c r="D23" s="35">
        <v>46091</v>
      </c>
      <c r="E23" s="35">
        <v>46183</v>
      </c>
      <c r="F23" s="65">
        <v>200000</v>
      </c>
      <c r="G23" s="26">
        <v>10000</v>
      </c>
      <c r="H23" s="68">
        <v>210000</v>
      </c>
      <c r="I23" s="65">
        <v>1</v>
      </c>
      <c r="J23" s="26">
        <v>200000</v>
      </c>
      <c r="K23" s="26">
        <v>10000</v>
      </c>
      <c r="L23" s="26">
        <v>210000</v>
      </c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29">
        <v>0</v>
      </c>
      <c r="Z23" s="29">
        <v>0</v>
      </c>
      <c r="AA23" s="29">
        <v>0</v>
      </c>
      <c r="AB23" s="32">
        <v>0</v>
      </c>
      <c r="AC23" s="71">
        <v>200000</v>
      </c>
      <c r="AD23" s="29">
        <v>210000</v>
      </c>
    </row>
    <row r="24" spans="1:30" x14ac:dyDescent="0.35">
      <c r="A24" s="13" t="s">
        <v>8</v>
      </c>
      <c r="B24" s="21">
        <v>202504028</v>
      </c>
      <c r="C24" s="19" t="s">
        <v>39</v>
      </c>
      <c r="D24" s="22">
        <v>45846</v>
      </c>
      <c r="E24" s="35">
        <v>45940</v>
      </c>
      <c r="F24" s="19">
        <v>105000</v>
      </c>
      <c r="G24" s="26">
        <v>6562.5</v>
      </c>
      <c r="H24" s="26">
        <v>111562.5</v>
      </c>
      <c r="I24" s="3">
        <v>1</v>
      </c>
      <c r="J24" s="26">
        <v>105000</v>
      </c>
      <c r="K24" s="26">
        <v>6562.5</v>
      </c>
      <c r="L24" s="26">
        <v>111562.5</v>
      </c>
      <c r="M24" s="20"/>
      <c r="N24" s="20"/>
      <c r="O24" s="20"/>
      <c r="P24" s="20"/>
      <c r="Q24" s="20"/>
      <c r="R24" s="20">
        <v>111563</v>
      </c>
      <c r="S24" s="20"/>
      <c r="T24" s="20"/>
      <c r="U24" s="20"/>
      <c r="V24" s="20"/>
      <c r="W24" s="20"/>
      <c r="X24" s="20"/>
      <c r="Y24" s="29">
        <v>1</v>
      </c>
      <c r="Z24" s="29">
        <v>105000.5</v>
      </c>
      <c r="AA24" s="29">
        <v>6562.5</v>
      </c>
      <c r="AB24" s="32">
        <v>111563</v>
      </c>
      <c r="AC24" s="31">
        <v>-0.5</v>
      </c>
      <c r="AD24" s="29">
        <v>-0.5</v>
      </c>
    </row>
    <row r="25" spans="1:30" x14ac:dyDescent="0.35">
      <c r="A25" s="63"/>
      <c r="B25" s="64"/>
      <c r="C25" s="65" t="s">
        <v>39</v>
      </c>
      <c r="D25" s="22">
        <v>45977</v>
      </c>
      <c r="E25" s="35">
        <v>46122</v>
      </c>
      <c r="F25" s="65">
        <v>185000</v>
      </c>
      <c r="G25" s="26">
        <v>19000</v>
      </c>
      <c r="H25" s="68">
        <v>204000</v>
      </c>
      <c r="I25" s="65">
        <v>1</v>
      </c>
      <c r="J25" s="26">
        <v>185000</v>
      </c>
      <c r="K25" s="26">
        <v>19000</v>
      </c>
      <c r="L25" s="26">
        <v>204000</v>
      </c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>
        <v>204000</v>
      </c>
      <c r="Y25" s="29">
        <v>1</v>
      </c>
      <c r="Z25" s="29">
        <v>185000</v>
      </c>
      <c r="AA25" s="29">
        <v>19000</v>
      </c>
      <c r="AB25" s="32">
        <v>204000</v>
      </c>
      <c r="AC25" s="71">
        <v>0</v>
      </c>
      <c r="AD25" s="29">
        <v>0</v>
      </c>
    </row>
    <row r="26" spans="1:30" x14ac:dyDescent="0.35">
      <c r="A26" s="13" t="s">
        <v>12</v>
      </c>
      <c r="B26" s="21">
        <v>202504030</v>
      </c>
      <c r="C26" s="19" t="s">
        <v>38</v>
      </c>
      <c r="D26" s="22">
        <v>45872</v>
      </c>
      <c r="E26" s="22">
        <v>46244</v>
      </c>
      <c r="F26" s="19">
        <v>200000</v>
      </c>
      <c r="G26" s="26">
        <v>12000</v>
      </c>
      <c r="H26" s="26">
        <v>212000</v>
      </c>
      <c r="I26" s="3">
        <v>12</v>
      </c>
      <c r="J26" s="26">
        <v>16666.666666666668</v>
      </c>
      <c r="K26" s="26">
        <v>1000</v>
      </c>
      <c r="L26" s="26">
        <v>17666.666666666668</v>
      </c>
      <c r="M26" s="20"/>
      <c r="N26" s="20"/>
      <c r="O26" s="20"/>
      <c r="P26" s="20"/>
      <c r="Q26" s="20">
        <v>18333</v>
      </c>
      <c r="R26" s="20">
        <v>18333</v>
      </c>
      <c r="S26" s="20">
        <v>18333</v>
      </c>
      <c r="T26" s="20">
        <v>18335</v>
      </c>
      <c r="U26" s="20">
        <v>18335</v>
      </c>
      <c r="V26" s="20">
        <v>18335</v>
      </c>
      <c r="W26" s="20">
        <v>18335</v>
      </c>
      <c r="X26" s="20">
        <v>83655</v>
      </c>
      <c r="Y26" s="29">
        <v>8</v>
      </c>
      <c r="Z26" s="29">
        <v>203994</v>
      </c>
      <c r="AA26" s="29">
        <v>12000</v>
      </c>
      <c r="AB26" s="32">
        <v>211994</v>
      </c>
      <c r="AC26" s="31">
        <v>0</v>
      </c>
      <c r="AD26" s="29">
        <v>0</v>
      </c>
    </row>
    <row r="27" spans="1:30" x14ac:dyDescent="0.35">
      <c r="A27" s="13" t="s">
        <v>45</v>
      </c>
      <c r="B27" s="21">
        <v>202504033</v>
      </c>
      <c r="C27" s="3" t="s">
        <v>38</v>
      </c>
      <c r="D27" s="35">
        <v>45936</v>
      </c>
      <c r="E27" s="35">
        <v>46305</v>
      </c>
      <c r="F27" s="19">
        <v>15000</v>
      </c>
      <c r="G27" s="26">
        <v>1500</v>
      </c>
      <c r="H27" s="26">
        <v>16500</v>
      </c>
      <c r="I27" s="3">
        <v>12</v>
      </c>
      <c r="J27" s="26">
        <v>1250</v>
      </c>
      <c r="K27" s="26">
        <v>125</v>
      </c>
      <c r="L27" s="26">
        <v>1375</v>
      </c>
      <c r="M27" s="20"/>
      <c r="N27" s="20"/>
      <c r="O27" s="20"/>
      <c r="P27" s="20"/>
      <c r="Q27" s="20"/>
      <c r="R27" s="20"/>
      <c r="S27" s="20">
        <v>1375</v>
      </c>
      <c r="T27" s="20">
        <v>1375</v>
      </c>
      <c r="U27" s="20">
        <v>1375</v>
      </c>
      <c r="V27" s="20">
        <v>1375</v>
      </c>
      <c r="W27" s="20">
        <v>1375</v>
      </c>
      <c r="X27" s="20">
        <v>1375</v>
      </c>
      <c r="Y27" s="29">
        <v>6</v>
      </c>
      <c r="Z27" s="29">
        <v>7500</v>
      </c>
      <c r="AA27" s="29">
        <v>750</v>
      </c>
      <c r="AB27" s="32">
        <v>8250</v>
      </c>
      <c r="AC27" s="31">
        <v>7500</v>
      </c>
      <c r="AD27" s="29">
        <v>8250</v>
      </c>
    </row>
    <row r="28" spans="1:30" x14ac:dyDescent="0.35">
      <c r="A28" s="13" t="s">
        <v>84</v>
      </c>
      <c r="B28" s="21">
        <v>202504038</v>
      </c>
      <c r="C28" s="19"/>
      <c r="D28" s="35">
        <v>46123</v>
      </c>
      <c r="E28" s="22"/>
      <c r="F28" s="19">
        <v>20000</v>
      </c>
      <c r="G28" s="26">
        <v>1300</v>
      </c>
      <c r="H28" s="26">
        <v>21300</v>
      </c>
      <c r="I28" s="3">
        <v>12</v>
      </c>
      <c r="J28" s="26">
        <v>1666.6666666666667</v>
      </c>
      <c r="K28" s="26">
        <v>108.33333333333333</v>
      </c>
      <c r="L28" s="26">
        <v>1775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9">
        <v>0</v>
      </c>
      <c r="Z28" s="29">
        <v>0</v>
      </c>
      <c r="AA28" s="29">
        <v>0</v>
      </c>
      <c r="AB28" s="32">
        <v>0</v>
      </c>
      <c r="AC28" s="31">
        <v>20000</v>
      </c>
      <c r="AD28" s="29">
        <v>21300</v>
      </c>
    </row>
    <row r="29" spans="1:30" x14ac:dyDescent="0.35">
      <c r="A29" s="13" t="s">
        <v>88</v>
      </c>
      <c r="B29" s="21">
        <v>202504042</v>
      </c>
      <c r="C29" s="19" t="s">
        <v>38</v>
      </c>
      <c r="D29" s="35">
        <v>45846</v>
      </c>
      <c r="E29" s="35">
        <v>46032</v>
      </c>
      <c r="F29" s="19">
        <v>20000</v>
      </c>
      <c r="G29" s="26">
        <v>1000</v>
      </c>
      <c r="H29" s="26">
        <v>21000</v>
      </c>
      <c r="I29" s="3">
        <v>6</v>
      </c>
      <c r="J29" s="26">
        <v>3333.3333333333335</v>
      </c>
      <c r="K29" s="26">
        <v>166.66666666666666</v>
      </c>
      <c r="L29" s="26">
        <v>3500</v>
      </c>
      <c r="M29" s="20"/>
      <c r="N29" s="20"/>
      <c r="O29" s="20"/>
      <c r="P29" s="20">
        <v>3500</v>
      </c>
      <c r="Q29" s="20">
        <v>3500</v>
      </c>
      <c r="R29" s="20">
        <v>3500</v>
      </c>
      <c r="S29" s="20">
        <v>3500</v>
      </c>
      <c r="T29" s="20">
        <v>3500</v>
      </c>
      <c r="U29" s="20">
        <v>3500</v>
      </c>
      <c r="V29" s="20"/>
      <c r="W29" s="20"/>
      <c r="X29" s="20"/>
      <c r="Y29" s="29">
        <v>6</v>
      </c>
      <c r="Z29" s="29">
        <v>20000</v>
      </c>
      <c r="AA29" s="29">
        <v>1000</v>
      </c>
      <c r="AB29" s="32">
        <v>21000</v>
      </c>
      <c r="AC29" s="31">
        <v>0</v>
      </c>
      <c r="AD29" s="29">
        <v>0</v>
      </c>
    </row>
    <row r="30" spans="1:30" x14ac:dyDescent="0.35">
      <c r="A30" s="79"/>
      <c r="B30" s="80"/>
      <c r="C30" s="81"/>
      <c r="D30" s="35">
        <v>46126</v>
      </c>
      <c r="E30" s="87"/>
      <c r="F30" s="81">
        <v>50000</v>
      </c>
      <c r="G30" s="26">
        <v>6000</v>
      </c>
      <c r="H30" s="83">
        <v>56500</v>
      </c>
      <c r="I30" s="81">
        <v>24</v>
      </c>
      <c r="J30" s="26">
        <v>2104.1666666666665</v>
      </c>
      <c r="K30" s="26">
        <v>250</v>
      </c>
      <c r="L30" s="26">
        <v>2354.1666666666665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5">
        <v>0</v>
      </c>
      <c r="Z30" s="29">
        <v>0</v>
      </c>
      <c r="AA30" s="29">
        <v>0</v>
      </c>
      <c r="AB30" s="32">
        <v>0</v>
      </c>
      <c r="AC30" s="31">
        <v>50000</v>
      </c>
      <c r="AD30" s="29">
        <v>56500</v>
      </c>
    </row>
    <row r="31" spans="1:30" x14ac:dyDescent="0.35">
      <c r="A31" s="13" t="s">
        <v>56</v>
      </c>
      <c r="B31" s="21">
        <v>202504044</v>
      </c>
      <c r="C31" s="19" t="s">
        <v>38</v>
      </c>
      <c r="D31" s="35">
        <v>45913</v>
      </c>
      <c r="E31" s="22"/>
      <c r="F31" s="19">
        <v>105000</v>
      </c>
      <c r="G31" s="26">
        <v>28875</v>
      </c>
      <c r="H31" s="26">
        <v>133875</v>
      </c>
      <c r="I31" s="3">
        <v>60</v>
      </c>
      <c r="J31" s="26">
        <v>1750</v>
      </c>
      <c r="K31" s="26">
        <v>481.25</v>
      </c>
      <c r="L31" s="26">
        <v>2231.25</v>
      </c>
      <c r="M31" s="20"/>
      <c r="N31" s="20"/>
      <c r="O31" s="20"/>
      <c r="P31" s="20"/>
      <c r="Q31" s="20"/>
      <c r="R31" s="20"/>
      <c r="S31" s="20">
        <v>2625</v>
      </c>
      <c r="T31" s="20">
        <v>2625</v>
      </c>
      <c r="U31" s="20">
        <v>2231</v>
      </c>
      <c r="V31" s="20">
        <v>2231</v>
      </c>
      <c r="W31" s="20">
        <v>2231</v>
      </c>
      <c r="X31" s="20">
        <v>2231</v>
      </c>
      <c r="Y31" s="29">
        <v>6</v>
      </c>
      <c r="Z31" s="29">
        <v>11286.5</v>
      </c>
      <c r="AA31" s="29">
        <v>2887.5</v>
      </c>
      <c r="AB31" s="32">
        <v>14174</v>
      </c>
      <c r="AC31" s="31">
        <v>93713.5</v>
      </c>
      <c r="AD31" s="29">
        <v>119701</v>
      </c>
    </row>
    <row r="32" spans="1:30" x14ac:dyDescent="0.35">
      <c r="A32" s="48"/>
      <c r="B32" s="49"/>
      <c r="C32" s="52"/>
      <c r="D32" s="35">
        <v>45943</v>
      </c>
      <c r="E32" s="53"/>
      <c r="F32" s="52">
        <v>225000</v>
      </c>
      <c r="G32" s="26">
        <v>61875</v>
      </c>
      <c r="H32" s="54">
        <v>286875</v>
      </c>
      <c r="I32" s="52">
        <v>60</v>
      </c>
      <c r="J32" s="26">
        <v>3750</v>
      </c>
      <c r="K32" s="26">
        <v>1031.25</v>
      </c>
      <c r="L32" s="26">
        <v>4781.25</v>
      </c>
      <c r="M32" s="56"/>
      <c r="N32" s="56"/>
      <c r="O32" s="56"/>
      <c r="P32" s="56"/>
      <c r="Q32" s="56"/>
      <c r="R32" s="56"/>
      <c r="S32" s="56">
        <v>9875</v>
      </c>
      <c r="T32" s="56">
        <v>9875</v>
      </c>
      <c r="U32" s="56">
        <v>4781</v>
      </c>
      <c r="V32" s="56">
        <v>4781</v>
      </c>
      <c r="W32" s="56">
        <v>4781</v>
      </c>
      <c r="X32" s="56">
        <v>4781</v>
      </c>
      <c r="Y32" s="29">
        <v>6</v>
      </c>
      <c r="Z32" s="29">
        <v>32686.5</v>
      </c>
      <c r="AA32" s="29">
        <v>6187.5</v>
      </c>
      <c r="AB32" s="32">
        <v>38874</v>
      </c>
      <c r="AC32" s="57">
        <v>192313.5</v>
      </c>
      <c r="AD32" s="29">
        <v>248001</v>
      </c>
    </row>
    <row r="33" spans="1:30" x14ac:dyDescent="0.35">
      <c r="A33" s="48"/>
      <c r="B33" s="49"/>
      <c r="C33" s="52"/>
      <c r="D33" s="35">
        <v>46004</v>
      </c>
      <c r="E33" s="53"/>
      <c r="F33" s="62">
        <v>170000</v>
      </c>
      <c r="G33" s="26">
        <v>46750</v>
      </c>
      <c r="H33" s="54">
        <v>216750</v>
      </c>
      <c r="I33" s="52">
        <v>60</v>
      </c>
      <c r="J33" s="26">
        <v>2833.3333333333335</v>
      </c>
      <c r="K33" s="26">
        <v>779.16666666666663</v>
      </c>
      <c r="L33" s="26">
        <v>3612.5</v>
      </c>
      <c r="M33" s="56"/>
      <c r="N33" s="56"/>
      <c r="O33" s="56"/>
      <c r="P33" s="56"/>
      <c r="Q33" s="56"/>
      <c r="R33" s="56"/>
      <c r="S33" s="56"/>
      <c r="T33" s="56"/>
      <c r="U33" s="56">
        <v>3688</v>
      </c>
      <c r="V33" s="56">
        <v>3688</v>
      </c>
      <c r="W33" s="56">
        <v>3688</v>
      </c>
      <c r="X33" s="56">
        <v>3688</v>
      </c>
      <c r="Y33" s="29">
        <v>4</v>
      </c>
      <c r="Z33" s="29">
        <v>11635.333333333334</v>
      </c>
      <c r="AA33" s="29">
        <v>3116.6666666666665</v>
      </c>
      <c r="AB33" s="32">
        <v>14752</v>
      </c>
      <c r="AC33" s="57">
        <v>158364.66666666666</v>
      </c>
      <c r="AD33" s="29">
        <v>201998</v>
      </c>
    </row>
    <row r="34" spans="1:30" x14ac:dyDescent="0.35">
      <c r="A34" s="63"/>
      <c r="B34" s="64"/>
      <c r="C34" s="65"/>
      <c r="D34" s="35">
        <v>46094</v>
      </c>
      <c r="E34" s="66"/>
      <c r="F34" s="67">
        <v>200000</v>
      </c>
      <c r="G34" s="26">
        <v>55000</v>
      </c>
      <c r="H34" s="68">
        <v>255000</v>
      </c>
      <c r="I34" s="65">
        <v>60</v>
      </c>
      <c r="J34" s="26">
        <v>3333.3333333333335</v>
      </c>
      <c r="K34" s="26">
        <v>916.66666666666663</v>
      </c>
      <c r="L34" s="26">
        <v>4250</v>
      </c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>
        <v>4300</v>
      </c>
      <c r="Y34" s="29">
        <v>1</v>
      </c>
      <c r="Z34" s="29">
        <v>3383.3333333333335</v>
      </c>
      <c r="AA34" s="29">
        <v>916.66666666666663</v>
      </c>
      <c r="AB34" s="32">
        <v>4300</v>
      </c>
      <c r="AC34" s="71">
        <v>196616.66666666666</v>
      </c>
      <c r="AD34" s="29">
        <v>250700</v>
      </c>
    </row>
    <row r="35" spans="1:30" x14ac:dyDescent="0.35">
      <c r="A35" s="13" t="s">
        <v>49</v>
      </c>
      <c r="B35" s="21">
        <v>202504045</v>
      </c>
      <c r="C35" s="19" t="s">
        <v>38</v>
      </c>
      <c r="D35" s="34">
        <v>45972</v>
      </c>
      <c r="E35" s="34">
        <v>46702</v>
      </c>
      <c r="F35" s="19">
        <v>100000</v>
      </c>
      <c r="G35" s="26">
        <v>12000</v>
      </c>
      <c r="H35" s="26">
        <v>112000</v>
      </c>
      <c r="I35" s="3">
        <v>24</v>
      </c>
      <c r="J35" s="26">
        <v>4166.666666666667</v>
      </c>
      <c r="K35" s="26">
        <v>500</v>
      </c>
      <c r="L35" s="26">
        <v>4666.666666666667</v>
      </c>
      <c r="M35" s="20"/>
      <c r="N35" s="20"/>
      <c r="O35" s="20"/>
      <c r="P35" s="20"/>
      <c r="Q35" s="20"/>
      <c r="R35" s="20"/>
      <c r="S35" s="20"/>
      <c r="T35" s="20">
        <v>5000</v>
      </c>
      <c r="U35" s="20">
        <v>5000</v>
      </c>
      <c r="V35" s="20">
        <v>5000</v>
      </c>
      <c r="W35" s="20">
        <v>5000</v>
      </c>
      <c r="X35" s="20">
        <v>5000</v>
      </c>
      <c r="Y35" s="29">
        <v>5</v>
      </c>
      <c r="Z35" s="29">
        <v>22500</v>
      </c>
      <c r="AA35" s="29">
        <v>2500</v>
      </c>
      <c r="AB35" s="32">
        <v>25000</v>
      </c>
      <c r="AC35" s="31">
        <v>77500</v>
      </c>
      <c r="AD35" s="29">
        <v>87000</v>
      </c>
    </row>
    <row r="36" spans="1:30" x14ac:dyDescent="0.35">
      <c r="A36" s="63"/>
      <c r="B36" s="64"/>
      <c r="C36" s="65"/>
      <c r="D36" s="34" t="s">
        <v>116</v>
      </c>
      <c r="E36" s="76"/>
      <c r="F36" s="65">
        <v>100000</v>
      </c>
      <c r="G36" s="26">
        <v>12000</v>
      </c>
      <c r="H36" s="68">
        <v>112000</v>
      </c>
      <c r="I36" s="65">
        <v>24</v>
      </c>
      <c r="J36" s="26">
        <v>4166.666666666667</v>
      </c>
      <c r="K36" s="26">
        <v>500</v>
      </c>
      <c r="L36" s="26">
        <v>4666.666666666667</v>
      </c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>
        <v>5000</v>
      </c>
      <c r="X36" s="69">
        <v>5000</v>
      </c>
      <c r="Y36" s="29">
        <v>2</v>
      </c>
      <c r="Z36" s="29">
        <v>9000</v>
      </c>
      <c r="AA36" s="29">
        <v>1000</v>
      </c>
      <c r="AB36" s="32">
        <v>10000</v>
      </c>
      <c r="AC36" s="71">
        <v>91000</v>
      </c>
      <c r="AD36" s="29">
        <v>102000</v>
      </c>
    </row>
    <row r="37" spans="1:30" x14ac:dyDescent="0.35">
      <c r="A37" s="13" t="s">
        <v>61</v>
      </c>
      <c r="B37" s="21">
        <v>202504046</v>
      </c>
      <c r="C37" s="19" t="s">
        <v>38</v>
      </c>
      <c r="D37" s="22">
        <v>45790</v>
      </c>
      <c r="E37" s="22">
        <v>46152</v>
      </c>
      <c r="F37" s="19">
        <v>40000</v>
      </c>
      <c r="G37" s="26">
        <v>4000</v>
      </c>
      <c r="H37" s="26">
        <v>44000</v>
      </c>
      <c r="I37" s="3">
        <v>12</v>
      </c>
      <c r="J37" s="26">
        <v>3333.333333333333</v>
      </c>
      <c r="K37" s="26">
        <v>333.33333333333331</v>
      </c>
      <c r="L37" s="26">
        <v>3666.6666666666665</v>
      </c>
      <c r="M37" s="20"/>
      <c r="N37" s="20">
        <v>3667</v>
      </c>
      <c r="O37" s="20">
        <v>3667</v>
      </c>
      <c r="P37" s="20">
        <v>3667</v>
      </c>
      <c r="Q37" s="20">
        <v>3667</v>
      </c>
      <c r="R37" s="20">
        <v>3667</v>
      </c>
      <c r="S37" s="20">
        <v>3667</v>
      </c>
      <c r="T37" s="20">
        <v>3667</v>
      </c>
      <c r="U37" s="20">
        <v>3667</v>
      </c>
      <c r="V37" s="20">
        <v>3667</v>
      </c>
      <c r="W37" s="20">
        <v>3667</v>
      </c>
      <c r="X37" s="20">
        <v>3667</v>
      </c>
      <c r="Y37" s="29">
        <v>11</v>
      </c>
      <c r="Z37" s="29">
        <v>36670.333333333336</v>
      </c>
      <c r="AA37" s="29">
        <v>3666.6666666666665</v>
      </c>
      <c r="AB37" s="32">
        <v>40337</v>
      </c>
      <c r="AC37" s="31">
        <v>3329.6666666666642</v>
      </c>
      <c r="AD37" s="29">
        <v>3663</v>
      </c>
    </row>
    <row r="38" spans="1:30" x14ac:dyDescent="0.35">
      <c r="A38" s="48"/>
      <c r="B38" s="49"/>
      <c r="C38" s="52"/>
      <c r="D38" s="35">
        <v>45943</v>
      </c>
      <c r="E38" s="22">
        <v>46122</v>
      </c>
      <c r="F38" s="52">
        <v>150000</v>
      </c>
      <c r="G38" s="26">
        <v>15750</v>
      </c>
      <c r="H38" s="54">
        <v>165750</v>
      </c>
      <c r="I38" s="52">
        <v>1</v>
      </c>
      <c r="J38" s="26">
        <v>150000</v>
      </c>
      <c r="K38" s="26">
        <v>15750</v>
      </c>
      <c r="L38" s="26">
        <v>165750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>
        <v>165750</v>
      </c>
      <c r="Y38" s="29">
        <v>1</v>
      </c>
      <c r="Z38" s="29">
        <v>150000</v>
      </c>
      <c r="AA38" s="29">
        <v>15750</v>
      </c>
      <c r="AB38" s="32">
        <v>165750</v>
      </c>
      <c r="AC38" s="55">
        <v>0</v>
      </c>
      <c r="AD38" s="29">
        <v>0</v>
      </c>
    </row>
    <row r="39" spans="1:30" x14ac:dyDescent="0.35">
      <c r="A39" s="79"/>
      <c r="B39" s="80"/>
      <c r="C39" s="81"/>
      <c r="D39" s="34">
        <v>46126</v>
      </c>
      <c r="E39" s="82"/>
      <c r="F39" s="81">
        <v>100000</v>
      </c>
      <c r="G39" s="26">
        <v>6500</v>
      </c>
      <c r="H39" s="83">
        <v>107500</v>
      </c>
      <c r="I39" s="81">
        <v>12</v>
      </c>
      <c r="J39" s="26">
        <v>8416.6666666666679</v>
      </c>
      <c r="K39" s="26">
        <v>541.66666666666663</v>
      </c>
      <c r="L39" s="26">
        <v>8958.3333333333339</v>
      </c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29">
        <v>0</v>
      </c>
      <c r="Z39" s="29">
        <v>0</v>
      </c>
      <c r="AA39" s="29">
        <v>0</v>
      </c>
      <c r="AB39" s="32">
        <v>0</v>
      </c>
      <c r="AC39" s="55">
        <v>100000</v>
      </c>
      <c r="AD39" s="29">
        <v>107500</v>
      </c>
    </row>
    <row r="40" spans="1:30" x14ac:dyDescent="0.35">
      <c r="A40" s="13" t="s">
        <v>97</v>
      </c>
      <c r="B40" s="21">
        <v>202504047</v>
      </c>
      <c r="C40" s="19" t="s">
        <v>39</v>
      </c>
      <c r="D40" s="22">
        <v>45846</v>
      </c>
      <c r="E40" s="35">
        <v>45940</v>
      </c>
      <c r="F40" s="19">
        <v>90000</v>
      </c>
      <c r="G40" s="26">
        <v>5625</v>
      </c>
      <c r="H40" s="26">
        <v>95625</v>
      </c>
      <c r="I40" s="3">
        <v>1</v>
      </c>
      <c r="J40" s="26">
        <v>90000</v>
      </c>
      <c r="K40" s="26">
        <v>5625</v>
      </c>
      <c r="L40" s="26">
        <v>95625</v>
      </c>
      <c r="M40" s="20"/>
      <c r="N40" s="20"/>
      <c r="O40" s="20"/>
      <c r="P40" s="20"/>
      <c r="Q40" s="20"/>
      <c r="R40" s="20">
        <v>95625</v>
      </c>
      <c r="S40" s="20"/>
      <c r="T40" s="20"/>
      <c r="U40" s="20"/>
      <c r="V40" s="20"/>
      <c r="W40" s="20"/>
      <c r="X40" s="20"/>
      <c r="Y40" s="29">
        <v>1</v>
      </c>
      <c r="Z40" s="29">
        <v>90000</v>
      </c>
      <c r="AA40" s="29">
        <v>5625</v>
      </c>
      <c r="AB40" s="32">
        <v>95625</v>
      </c>
      <c r="AC40" s="31">
        <v>0</v>
      </c>
      <c r="AD40" s="29">
        <v>0</v>
      </c>
    </row>
    <row r="41" spans="1:30" x14ac:dyDescent="0.35">
      <c r="A41" s="63"/>
      <c r="B41" s="64"/>
      <c r="C41" s="65" t="s">
        <v>39</v>
      </c>
      <c r="D41" s="22">
        <v>46096</v>
      </c>
      <c r="E41" s="76"/>
      <c r="F41" s="65">
        <v>145000</v>
      </c>
      <c r="G41" s="26">
        <v>7250</v>
      </c>
      <c r="H41" s="68">
        <v>152250</v>
      </c>
      <c r="I41" s="65">
        <v>1</v>
      </c>
      <c r="J41" s="26">
        <v>145000</v>
      </c>
      <c r="K41" s="26">
        <v>7250</v>
      </c>
      <c r="L41" s="26">
        <v>152250</v>
      </c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70">
        <v>0</v>
      </c>
      <c r="Z41" s="70"/>
      <c r="AA41" s="29">
        <v>0</v>
      </c>
      <c r="AB41" s="32">
        <v>0</v>
      </c>
      <c r="AC41" s="71">
        <v>145000</v>
      </c>
      <c r="AD41" s="29">
        <v>152250</v>
      </c>
    </row>
    <row r="42" spans="1:30" x14ac:dyDescent="0.35">
      <c r="A42" s="13" t="s">
        <v>62</v>
      </c>
      <c r="B42" s="21">
        <v>202504050</v>
      </c>
      <c r="C42" s="19" t="s">
        <v>38</v>
      </c>
      <c r="D42" s="35">
        <v>45812</v>
      </c>
      <c r="E42" s="34">
        <v>46183</v>
      </c>
      <c r="F42" s="19">
        <v>30000</v>
      </c>
      <c r="G42" s="26">
        <v>3000</v>
      </c>
      <c r="H42" s="26">
        <v>33000</v>
      </c>
      <c r="I42" s="3">
        <v>12</v>
      </c>
      <c r="J42" s="26">
        <v>2500</v>
      </c>
      <c r="K42" s="26">
        <v>250</v>
      </c>
      <c r="L42" s="26">
        <v>2750</v>
      </c>
      <c r="M42" s="20"/>
      <c r="N42" s="20"/>
      <c r="O42" s="20">
        <v>2750</v>
      </c>
      <c r="P42" s="20">
        <v>2750</v>
      </c>
      <c r="Q42" s="20">
        <v>2750</v>
      </c>
      <c r="R42" s="20">
        <v>2750</v>
      </c>
      <c r="S42" s="20">
        <v>2750</v>
      </c>
      <c r="T42" s="20">
        <v>2750</v>
      </c>
      <c r="U42" s="20">
        <v>2750</v>
      </c>
      <c r="V42" s="20">
        <v>2750</v>
      </c>
      <c r="W42" s="20">
        <v>2750</v>
      </c>
      <c r="X42" s="20">
        <v>2750</v>
      </c>
      <c r="Y42" s="29">
        <v>10</v>
      </c>
      <c r="Z42" s="29">
        <v>25000</v>
      </c>
      <c r="AA42" s="29">
        <v>2500</v>
      </c>
      <c r="AB42" s="32">
        <v>27500</v>
      </c>
      <c r="AC42" s="31">
        <v>5000</v>
      </c>
      <c r="AD42" s="29">
        <v>5500</v>
      </c>
    </row>
    <row r="43" spans="1:30" x14ac:dyDescent="0.35">
      <c r="A43" s="79"/>
      <c r="B43" s="80"/>
      <c r="C43" s="81"/>
      <c r="D43" s="34">
        <v>46126</v>
      </c>
      <c r="E43" s="87"/>
      <c r="F43" s="81">
        <v>33000</v>
      </c>
      <c r="G43" s="26">
        <v>1650</v>
      </c>
      <c r="H43" s="83">
        <v>34980</v>
      </c>
      <c r="I43" s="81">
        <v>1</v>
      </c>
      <c r="J43" s="26">
        <v>33330</v>
      </c>
      <c r="K43" s="26">
        <v>1650</v>
      </c>
      <c r="L43" s="26">
        <v>34980</v>
      </c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29">
        <v>0</v>
      </c>
      <c r="Z43" s="29">
        <v>0</v>
      </c>
      <c r="AA43" s="29">
        <v>0</v>
      </c>
      <c r="AB43" s="32">
        <v>0</v>
      </c>
      <c r="AC43" s="86">
        <v>33000</v>
      </c>
      <c r="AD43" s="29">
        <v>34980</v>
      </c>
    </row>
    <row r="44" spans="1:30" x14ac:dyDescent="0.35">
      <c r="A44" s="13" t="s">
        <v>63</v>
      </c>
      <c r="B44" s="21">
        <v>202504051</v>
      </c>
      <c r="C44" s="3" t="s">
        <v>39</v>
      </c>
      <c r="D44" s="34">
        <v>46034</v>
      </c>
      <c r="E44" s="34">
        <v>46122</v>
      </c>
      <c r="F44" s="19">
        <v>60000</v>
      </c>
      <c r="G44" s="26">
        <v>3000</v>
      </c>
      <c r="H44" s="26">
        <v>63000</v>
      </c>
      <c r="I44" s="3">
        <v>1</v>
      </c>
      <c r="J44" s="26">
        <v>60000</v>
      </c>
      <c r="K44" s="26">
        <v>3000</v>
      </c>
      <c r="L44" s="26">
        <v>63000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>
        <v>63000</v>
      </c>
      <c r="Y44" s="29">
        <v>1</v>
      </c>
      <c r="Z44" s="29">
        <v>60000</v>
      </c>
      <c r="AA44" s="29">
        <v>3000</v>
      </c>
      <c r="AB44" s="32">
        <v>63000</v>
      </c>
      <c r="AC44" s="31">
        <v>0</v>
      </c>
      <c r="AD44" s="29">
        <v>0</v>
      </c>
    </row>
    <row r="45" spans="1:30" x14ac:dyDescent="0.35">
      <c r="A45" s="13" t="s">
        <v>58</v>
      </c>
      <c r="B45" s="21">
        <v>202504059</v>
      </c>
      <c r="C45" s="19" t="s">
        <v>38</v>
      </c>
      <c r="D45" s="22">
        <v>45790</v>
      </c>
      <c r="E45" s="22">
        <v>46152</v>
      </c>
      <c r="F45" s="19">
        <v>30000</v>
      </c>
      <c r="G45" s="26">
        <v>1500</v>
      </c>
      <c r="H45" s="26">
        <v>31500</v>
      </c>
      <c r="I45" s="3">
        <v>5</v>
      </c>
      <c r="J45" s="26">
        <v>2500</v>
      </c>
      <c r="K45" s="26">
        <v>250</v>
      </c>
      <c r="L45" s="26">
        <v>2750</v>
      </c>
      <c r="M45" s="20"/>
      <c r="N45" s="20">
        <v>2750</v>
      </c>
      <c r="O45" s="20">
        <v>2750</v>
      </c>
      <c r="P45" s="20">
        <v>2750</v>
      </c>
      <c r="Q45" s="20">
        <v>2750</v>
      </c>
      <c r="R45" s="20">
        <v>20500</v>
      </c>
      <c r="S45" s="20"/>
      <c r="T45" s="20"/>
      <c r="U45" s="20"/>
      <c r="V45" s="20"/>
      <c r="W45" s="20"/>
      <c r="X45" s="20"/>
      <c r="Y45" s="29">
        <v>5</v>
      </c>
      <c r="Z45" s="29">
        <v>30250</v>
      </c>
      <c r="AA45" s="29">
        <v>1500</v>
      </c>
      <c r="AB45" s="32">
        <v>31500</v>
      </c>
      <c r="AC45" s="31">
        <v>0</v>
      </c>
      <c r="AD45" s="29">
        <v>0</v>
      </c>
    </row>
    <row r="46" spans="1:30" x14ac:dyDescent="0.35">
      <c r="A46" s="48"/>
      <c r="B46" s="49"/>
      <c r="C46" s="52"/>
      <c r="D46" s="22">
        <v>45943</v>
      </c>
      <c r="E46" s="22">
        <v>46308</v>
      </c>
      <c r="F46" s="52">
        <v>100000</v>
      </c>
      <c r="G46" s="26">
        <v>15000</v>
      </c>
      <c r="H46" s="54">
        <v>115000</v>
      </c>
      <c r="I46" s="52">
        <v>18</v>
      </c>
      <c r="J46" s="26">
        <v>5555.5555555555557</v>
      </c>
      <c r="K46" s="26">
        <v>833.33333333333337</v>
      </c>
      <c r="L46" s="26">
        <v>6388.8888888888887</v>
      </c>
      <c r="M46" s="51"/>
      <c r="N46" s="51"/>
      <c r="O46" s="51"/>
      <c r="P46" s="51"/>
      <c r="Q46" s="51"/>
      <c r="R46" s="51"/>
      <c r="S46" s="51">
        <v>6000</v>
      </c>
      <c r="T46" s="51">
        <v>6000</v>
      </c>
      <c r="U46" s="51">
        <v>6000</v>
      </c>
      <c r="V46" s="51">
        <v>6000</v>
      </c>
      <c r="W46" s="51">
        <v>6000</v>
      </c>
      <c r="X46" s="51">
        <v>3000</v>
      </c>
      <c r="Y46" s="29">
        <v>6</v>
      </c>
      <c r="Z46" s="29">
        <v>28000</v>
      </c>
      <c r="AA46" s="78">
        <v>4582</v>
      </c>
      <c r="AB46" s="32">
        <v>33000</v>
      </c>
      <c r="AC46" s="31">
        <v>72000</v>
      </c>
      <c r="AD46" s="29">
        <v>82000</v>
      </c>
    </row>
    <row r="47" spans="1:30" x14ac:dyDescent="0.35">
      <c r="A47" s="13" t="s">
        <v>67</v>
      </c>
      <c r="B47" s="21">
        <v>202504061</v>
      </c>
      <c r="C47" s="19" t="s">
        <v>38</v>
      </c>
      <c r="D47" s="35">
        <v>45812</v>
      </c>
      <c r="E47" s="34">
        <v>46001</v>
      </c>
      <c r="F47" s="19">
        <v>10000</v>
      </c>
      <c r="G47" s="26">
        <v>500</v>
      </c>
      <c r="H47" s="26">
        <v>10500</v>
      </c>
      <c r="I47" s="3">
        <v>5</v>
      </c>
      <c r="J47" s="26">
        <v>2000</v>
      </c>
      <c r="K47" s="26">
        <v>100</v>
      </c>
      <c r="L47" s="26">
        <v>2100</v>
      </c>
      <c r="M47" s="20"/>
      <c r="N47" s="20"/>
      <c r="O47" s="20">
        <v>1750</v>
      </c>
      <c r="P47" s="20">
        <v>1750</v>
      </c>
      <c r="Q47" s="20">
        <v>1750</v>
      </c>
      <c r="R47" s="20">
        <v>1750</v>
      </c>
      <c r="S47" s="20">
        <v>3500</v>
      </c>
      <c r="T47" s="20"/>
      <c r="U47" s="20"/>
      <c r="V47" s="20"/>
      <c r="W47" s="20"/>
      <c r="X47" s="20"/>
      <c r="Y47" s="29">
        <v>5</v>
      </c>
      <c r="Z47" s="29">
        <v>10000</v>
      </c>
      <c r="AA47" s="29">
        <v>500</v>
      </c>
      <c r="AB47" s="32">
        <v>10500</v>
      </c>
      <c r="AC47" s="31">
        <v>0</v>
      </c>
      <c r="AD47" s="29">
        <v>0</v>
      </c>
    </row>
    <row r="48" spans="1:30" x14ac:dyDescent="0.35">
      <c r="A48" s="63"/>
      <c r="B48" s="64"/>
      <c r="C48" s="65" t="s">
        <v>38</v>
      </c>
      <c r="D48" s="34">
        <v>45974</v>
      </c>
      <c r="E48" s="22">
        <v>46152</v>
      </c>
      <c r="F48" s="65">
        <v>10000</v>
      </c>
      <c r="G48" s="26">
        <v>500</v>
      </c>
      <c r="H48" s="68">
        <v>10500</v>
      </c>
      <c r="I48" s="65">
        <v>6</v>
      </c>
      <c r="J48" s="26">
        <v>1666.6666666666667</v>
      </c>
      <c r="K48" s="26">
        <v>83.333333333333329</v>
      </c>
      <c r="L48" s="26">
        <v>1750</v>
      </c>
      <c r="M48" s="69"/>
      <c r="N48" s="69"/>
      <c r="O48" s="69"/>
      <c r="P48" s="69"/>
      <c r="Q48" s="69"/>
      <c r="R48" s="69"/>
      <c r="S48" s="69"/>
      <c r="T48" s="69">
        <v>3500</v>
      </c>
      <c r="U48" s="69">
        <v>2000</v>
      </c>
      <c r="V48" s="69">
        <v>0</v>
      </c>
      <c r="W48" s="69">
        <v>2000</v>
      </c>
      <c r="X48" s="69">
        <v>2000</v>
      </c>
      <c r="Y48" s="29">
        <v>5</v>
      </c>
      <c r="Z48" s="29">
        <v>9083.3333333333339</v>
      </c>
      <c r="AA48" s="29">
        <v>416.66666666666663</v>
      </c>
      <c r="AB48" s="32">
        <v>9500</v>
      </c>
      <c r="AC48" s="31">
        <v>916.66666666666606</v>
      </c>
      <c r="AD48" s="29">
        <v>1000</v>
      </c>
    </row>
    <row r="49" spans="1:30" x14ac:dyDescent="0.35">
      <c r="A49" s="13" t="s">
        <v>75</v>
      </c>
      <c r="B49" s="21">
        <v>202504062</v>
      </c>
      <c r="C49" s="19" t="s">
        <v>38</v>
      </c>
      <c r="D49" s="35">
        <v>45852</v>
      </c>
      <c r="E49" s="35">
        <v>46032</v>
      </c>
      <c r="F49" s="19">
        <v>10000</v>
      </c>
      <c r="G49" s="26">
        <v>500</v>
      </c>
      <c r="H49" s="26">
        <v>10500</v>
      </c>
      <c r="I49" s="3">
        <v>6</v>
      </c>
      <c r="J49" s="26">
        <v>1666.6666666666667</v>
      </c>
      <c r="K49" s="26">
        <v>83.333333333333329</v>
      </c>
      <c r="L49" s="26">
        <v>1750</v>
      </c>
      <c r="M49" s="20"/>
      <c r="N49" s="20"/>
      <c r="O49" s="20"/>
      <c r="P49" s="20">
        <v>1750</v>
      </c>
      <c r="Q49" s="20">
        <v>1750</v>
      </c>
      <c r="R49" s="20">
        <v>1750</v>
      </c>
      <c r="S49" s="20">
        <v>1750</v>
      </c>
      <c r="T49" s="20">
        <v>1750</v>
      </c>
      <c r="U49" s="20">
        <v>1750</v>
      </c>
      <c r="V49" s="20"/>
      <c r="W49" s="20"/>
      <c r="X49" s="20"/>
      <c r="Y49" s="29">
        <v>6</v>
      </c>
      <c r="Z49" s="29">
        <v>10000</v>
      </c>
      <c r="AA49" s="29">
        <v>500</v>
      </c>
      <c r="AB49" s="32">
        <v>10500</v>
      </c>
      <c r="AC49" s="31">
        <v>0</v>
      </c>
      <c r="AD49" s="29">
        <v>0</v>
      </c>
    </row>
    <row r="50" spans="1:30" x14ac:dyDescent="0.35">
      <c r="A50" s="13" t="s">
        <v>85</v>
      </c>
      <c r="B50" s="21">
        <v>202504064</v>
      </c>
      <c r="C50" s="19" t="s">
        <v>39</v>
      </c>
      <c r="D50" s="35">
        <v>45812</v>
      </c>
      <c r="E50" s="35">
        <v>46001</v>
      </c>
      <c r="F50" s="19">
        <v>50000</v>
      </c>
      <c r="G50" s="26">
        <v>3500</v>
      </c>
      <c r="H50" s="26">
        <v>53500</v>
      </c>
      <c r="I50" s="3">
        <v>1</v>
      </c>
      <c r="J50" s="26">
        <v>50000</v>
      </c>
      <c r="K50" s="26">
        <v>3500</v>
      </c>
      <c r="L50" s="26">
        <v>53500</v>
      </c>
      <c r="M50" s="20"/>
      <c r="N50" s="20"/>
      <c r="O50" s="20"/>
      <c r="P50" s="20"/>
      <c r="Q50" s="20">
        <v>53500</v>
      </c>
      <c r="R50" s="20"/>
      <c r="S50" s="20"/>
      <c r="T50" s="20"/>
      <c r="U50" s="20"/>
      <c r="V50" s="20"/>
      <c r="W50" s="20"/>
      <c r="X50" s="20"/>
      <c r="Y50" s="29">
        <v>1</v>
      </c>
      <c r="Z50" s="29">
        <v>50000</v>
      </c>
      <c r="AA50" s="29">
        <v>3500</v>
      </c>
      <c r="AB50" s="32">
        <v>53500</v>
      </c>
      <c r="AC50" s="31">
        <v>0</v>
      </c>
      <c r="AD50" s="29">
        <v>0</v>
      </c>
    </row>
    <row r="51" spans="1:30" x14ac:dyDescent="0.35">
      <c r="A51" s="39"/>
      <c r="B51" s="40"/>
      <c r="C51" s="41"/>
      <c r="D51" s="35">
        <v>45910</v>
      </c>
      <c r="E51" s="35">
        <v>46091</v>
      </c>
      <c r="F51" s="41">
        <v>200000</v>
      </c>
      <c r="G51" s="26">
        <v>20000</v>
      </c>
      <c r="H51" s="42">
        <v>220000</v>
      </c>
      <c r="I51" s="41">
        <v>1</v>
      </c>
      <c r="J51" s="26">
        <v>200000</v>
      </c>
      <c r="K51" s="26">
        <v>20000</v>
      </c>
      <c r="L51" s="26">
        <v>220000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>
        <v>220000</v>
      </c>
      <c r="X51" s="43"/>
      <c r="Y51" s="29">
        <v>1</v>
      </c>
      <c r="Z51" s="29">
        <v>200000</v>
      </c>
      <c r="AA51" s="29">
        <v>20000</v>
      </c>
      <c r="AB51" s="32">
        <v>220000</v>
      </c>
      <c r="AC51" s="44">
        <v>0</v>
      </c>
      <c r="AD51" s="29">
        <v>0</v>
      </c>
    </row>
    <row r="52" spans="1:30" x14ac:dyDescent="0.35">
      <c r="A52" s="13" t="s">
        <v>82</v>
      </c>
      <c r="B52" s="21">
        <v>202504066</v>
      </c>
      <c r="C52" s="19" t="s">
        <v>38</v>
      </c>
      <c r="D52" s="34">
        <v>45882</v>
      </c>
      <c r="E52" s="34">
        <v>46244</v>
      </c>
      <c r="F52" s="19">
        <v>80000</v>
      </c>
      <c r="G52" s="26">
        <v>9333.3333333333321</v>
      </c>
      <c r="H52" s="26">
        <v>89333.333333333328</v>
      </c>
      <c r="I52" s="3">
        <v>14</v>
      </c>
      <c r="J52" s="26">
        <v>5714.2857142857138</v>
      </c>
      <c r="K52" s="26">
        <v>666.66666666666663</v>
      </c>
      <c r="L52" s="26">
        <v>6380.9523809523807</v>
      </c>
      <c r="M52" s="20"/>
      <c r="N52" s="20"/>
      <c r="O52" s="20"/>
      <c r="P52" s="20"/>
      <c r="Q52" s="20">
        <v>6381</v>
      </c>
      <c r="R52" s="20">
        <v>6381</v>
      </c>
      <c r="S52" s="20">
        <v>6381</v>
      </c>
      <c r="T52" s="20">
        <v>6381</v>
      </c>
      <c r="U52" s="20">
        <v>6381</v>
      </c>
      <c r="V52" s="60">
        <v>6381</v>
      </c>
      <c r="W52" s="60">
        <v>0</v>
      </c>
      <c r="X52" s="20">
        <v>12762</v>
      </c>
      <c r="Y52" s="29">
        <v>8</v>
      </c>
      <c r="Z52" s="29">
        <v>45714.666666666664</v>
      </c>
      <c r="AA52" s="29">
        <v>5333.333333333333</v>
      </c>
      <c r="AB52" s="32">
        <v>51048</v>
      </c>
      <c r="AC52" s="31">
        <v>34285.333333333336</v>
      </c>
      <c r="AD52" s="29">
        <v>38285.333333333328</v>
      </c>
    </row>
    <row r="53" spans="1:30" x14ac:dyDescent="0.35">
      <c r="A53" s="13" t="s">
        <v>83</v>
      </c>
      <c r="B53" s="21">
        <v>202504067</v>
      </c>
      <c r="C53" s="19" t="s">
        <v>38</v>
      </c>
      <c r="D53" s="35">
        <v>45851</v>
      </c>
      <c r="E53" s="34">
        <v>46032</v>
      </c>
      <c r="F53" s="19">
        <v>100000</v>
      </c>
      <c r="G53" s="26">
        <v>5000</v>
      </c>
      <c r="H53" s="26">
        <v>105000</v>
      </c>
      <c r="I53" s="3">
        <v>6</v>
      </c>
      <c r="J53" s="26">
        <v>16666.666666666668</v>
      </c>
      <c r="K53" s="26">
        <v>833.33333333333337</v>
      </c>
      <c r="L53" s="26">
        <v>17500</v>
      </c>
      <c r="M53" s="20"/>
      <c r="N53" s="20"/>
      <c r="O53" s="20"/>
      <c r="P53" s="20">
        <v>17500</v>
      </c>
      <c r="Q53" s="20">
        <v>17500</v>
      </c>
      <c r="R53" s="20">
        <v>17500</v>
      </c>
      <c r="S53" s="20">
        <v>17500</v>
      </c>
      <c r="T53" s="20">
        <v>17500</v>
      </c>
      <c r="U53" s="20">
        <v>17500</v>
      </c>
      <c r="V53" s="20"/>
      <c r="W53" s="20"/>
      <c r="X53" s="20"/>
      <c r="Y53" s="29">
        <v>6</v>
      </c>
      <c r="Z53" s="29">
        <v>100000</v>
      </c>
      <c r="AA53" s="29">
        <v>5000</v>
      </c>
      <c r="AB53" s="32">
        <v>105000</v>
      </c>
      <c r="AC53" s="31">
        <v>0</v>
      </c>
      <c r="AD53" s="29">
        <v>0</v>
      </c>
    </row>
    <row r="54" spans="1:30" x14ac:dyDescent="0.35">
      <c r="A54" s="13" t="s">
        <v>87</v>
      </c>
      <c r="B54" s="21">
        <v>202504068</v>
      </c>
      <c r="C54" s="19" t="s">
        <v>38</v>
      </c>
      <c r="D54" s="35">
        <v>46068</v>
      </c>
      <c r="E54" s="35">
        <v>46793</v>
      </c>
      <c r="F54" s="19">
        <v>100000</v>
      </c>
      <c r="G54" s="26">
        <v>12000</v>
      </c>
      <c r="H54" s="26">
        <v>112000</v>
      </c>
      <c r="I54" s="3">
        <v>24</v>
      </c>
      <c r="J54" s="26">
        <v>4166.666666666667</v>
      </c>
      <c r="K54" s="26">
        <v>500</v>
      </c>
      <c r="L54" s="26">
        <v>4666.666666666667</v>
      </c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>
        <v>5000</v>
      </c>
      <c r="X54" s="20">
        <v>5000</v>
      </c>
      <c r="Y54" s="29">
        <v>2</v>
      </c>
      <c r="Z54" s="29">
        <v>9000</v>
      </c>
      <c r="AA54" s="29">
        <v>1000</v>
      </c>
      <c r="AB54" s="32">
        <v>10000</v>
      </c>
      <c r="AC54" s="31">
        <v>91000</v>
      </c>
      <c r="AD54" s="29">
        <v>102000</v>
      </c>
    </row>
    <row r="55" spans="1:30" x14ac:dyDescent="0.35">
      <c r="A55" s="63"/>
      <c r="B55" s="64"/>
      <c r="C55" s="65"/>
      <c r="D55" s="35">
        <v>46088</v>
      </c>
      <c r="E55" s="35">
        <v>46793</v>
      </c>
      <c r="F55" s="65">
        <v>30000</v>
      </c>
      <c r="G55" s="26">
        <v>3600</v>
      </c>
      <c r="H55" s="68">
        <v>33600</v>
      </c>
      <c r="I55" s="65">
        <v>23</v>
      </c>
      <c r="J55" s="26">
        <v>1304.3478260869565</v>
      </c>
      <c r="K55" s="26">
        <v>156.52173913043478</v>
      </c>
      <c r="L55" s="26">
        <v>1460.8695652173913</v>
      </c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>
        <v>1400</v>
      </c>
      <c r="Y55" s="29">
        <v>1</v>
      </c>
      <c r="Z55" s="29">
        <v>1243.4782608695652</v>
      </c>
      <c r="AA55" s="29">
        <v>156.52173913043478</v>
      </c>
      <c r="AB55" s="32">
        <v>1400</v>
      </c>
      <c r="AC55" s="71">
        <v>28756.521739130436</v>
      </c>
      <c r="AD55" s="29">
        <v>32200</v>
      </c>
    </row>
    <row r="56" spans="1:30" x14ac:dyDescent="0.35">
      <c r="A56" s="13" t="s">
        <v>65</v>
      </c>
      <c r="B56" s="21">
        <v>202504070</v>
      </c>
      <c r="C56" s="19" t="s">
        <v>38</v>
      </c>
      <c r="D56" s="35">
        <v>46069</v>
      </c>
      <c r="E56" s="22"/>
      <c r="F56" s="19">
        <v>58000</v>
      </c>
      <c r="G56" s="26">
        <v>15950</v>
      </c>
      <c r="H56" s="26">
        <v>73950</v>
      </c>
      <c r="I56" s="3">
        <v>60</v>
      </c>
      <c r="J56" s="26">
        <v>966.66666666666674</v>
      </c>
      <c r="K56" s="26">
        <v>265.83333333333331</v>
      </c>
      <c r="L56" s="26">
        <v>1232.5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>
        <v>1300</v>
      </c>
      <c r="X56" s="20">
        <v>1300</v>
      </c>
      <c r="Y56" s="29">
        <v>2</v>
      </c>
      <c r="Z56" s="29">
        <v>2068.3333333333335</v>
      </c>
      <c r="AA56" s="29">
        <v>531.66666666666663</v>
      </c>
      <c r="AB56" s="32">
        <v>2600</v>
      </c>
      <c r="AC56" s="31">
        <v>55931.666666666664</v>
      </c>
      <c r="AD56" s="29">
        <v>71350</v>
      </c>
    </row>
    <row r="57" spans="1:30" x14ac:dyDescent="0.35">
      <c r="A57" s="39" t="s">
        <v>110</v>
      </c>
      <c r="B57" s="21">
        <v>202504075</v>
      </c>
      <c r="C57" s="3" t="s">
        <v>38</v>
      </c>
      <c r="D57" s="35">
        <v>46027</v>
      </c>
      <c r="E57" s="35">
        <v>46397</v>
      </c>
      <c r="F57" s="41">
        <v>20000</v>
      </c>
      <c r="G57" s="26">
        <v>1300</v>
      </c>
      <c r="H57" s="26">
        <v>21300</v>
      </c>
      <c r="I57" s="3">
        <v>12</v>
      </c>
      <c r="J57" s="26">
        <v>1666.6666666666667</v>
      </c>
      <c r="K57" s="26">
        <v>108.33333333333333</v>
      </c>
      <c r="L57" s="26">
        <v>1775</v>
      </c>
      <c r="M57" s="46"/>
      <c r="N57" s="46"/>
      <c r="O57" s="46"/>
      <c r="P57" s="46"/>
      <c r="Q57" s="46"/>
      <c r="R57" s="46"/>
      <c r="S57" s="46"/>
      <c r="T57" s="46"/>
      <c r="U57" s="46"/>
      <c r="V57" s="46">
        <v>1800</v>
      </c>
      <c r="W57" s="46">
        <v>1800</v>
      </c>
      <c r="X57" s="46">
        <v>1800</v>
      </c>
      <c r="Y57" s="29">
        <v>3</v>
      </c>
      <c r="Z57" s="29">
        <v>5075</v>
      </c>
      <c r="AA57" s="29">
        <v>325</v>
      </c>
      <c r="AB57" s="32">
        <v>5400</v>
      </c>
      <c r="AC57" s="31">
        <v>14925</v>
      </c>
      <c r="AD57" s="29">
        <v>15900</v>
      </c>
    </row>
    <row r="58" spans="1:30" x14ac:dyDescent="0.35">
      <c r="A58" s="48" t="s">
        <v>112</v>
      </c>
      <c r="B58" s="21">
        <v>202504077</v>
      </c>
      <c r="C58" s="52" t="s">
        <v>38</v>
      </c>
      <c r="D58" s="35">
        <v>45966</v>
      </c>
      <c r="E58" s="35">
        <v>46152</v>
      </c>
      <c r="F58" s="52">
        <v>50000</v>
      </c>
      <c r="G58" s="26">
        <v>2100</v>
      </c>
      <c r="H58" s="26">
        <v>52100</v>
      </c>
      <c r="I58" s="3">
        <v>5</v>
      </c>
      <c r="J58" s="26">
        <v>10000</v>
      </c>
      <c r="K58" s="26">
        <v>420</v>
      </c>
      <c r="L58" s="26">
        <v>10420</v>
      </c>
      <c r="M58" s="56"/>
      <c r="N58" s="56"/>
      <c r="O58" s="56"/>
      <c r="P58" s="56"/>
      <c r="Q58" s="56"/>
      <c r="R58" s="56"/>
      <c r="S58" s="56"/>
      <c r="T58" s="56">
        <v>6670</v>
      </c>
      <c r="U58" s="56">
        <v>6670</v>
      </c>
      <c r="V58" s="56">
        <v>6670</v>
      </c>
      <c r="W58" s="56">
        <v>6670</v>
      </c>
      <c r="X58" s="56">
        <v>25432</v>
      </c>
      <c r="Y58" s="29">
        <v>5</v>
      </c>
      <c r="Z58" s="29">
        <v>50012</v>
      </c>
      <c r="AA58" s="29">
        <v>2100</v>
      </c>
      <c r="AB58" s="32">
        <v>52112</v>
      </c>
      <c r="AC58" s="31">
        <v>-12</v>
      </c>
      <c r="AD58" s="29">
        <v>-12</v>
      </c>
    </row>
    <row r="59" spans="1:30" x14ac:dyDescent="0.35">
      <c r="A59" s="79"/>
      <c r="B59" s="80"/>
      <c r="C59" s="81"/>
      <c r="D59" s="35">
        <v>46122</v>
      </c>
      <c r="E59" s="87"/>
      <c r="F59" s="81">
        <v>100000</v>
      </c>
      <c r="G59" s="26">
        <v>12000</v>
      </c>
      <c r="H59" s="83">
        <v>113000</v>
      </c>
      <c r="I59" s="81">
        <v>12</v>
      </c>
      <c r="J59" s="26">
        <v>8416.6666666666661</v>
      </c>
      <c r="K59" s="26">
        <v>1000</v>
      </c>
      <c r="L59" s="26">
        <v>9416.6666666666661</v>
      </c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5">
        <v>0</v>
      </c>
      <c r="Z59" s="29">
        <v>0</v>
      </c>
      <c r="AA59" s="29">
        <v>0</v>
      </c>
      <c r="AB59" s="32">
        <v>0</v>
      </c>
      <c r="AC59" s="86">
        <v>100000</v>
      </c>
      <c r="AD59" s="29">
        <v>113000</v>
      </c>
    </row>
    <row r="60" spans="1:30" x14ac:dyDescent="0.35">
      <c r="A60" s="63" t="s">
        <v>115</v>
      </c>
      <c r="B60" s="21">
        <v>202504079</v>
      </c>
      <c r="C60" s="65" t="s">
        <v>38</v>
      </c>
      <c r="D60" s="35">
        <v>46091</v>
      </c>
      <c r="E60" s="66"/>
      <c r="F60" s="65">
        <v>20000</v>
      </c>
      <c r="G60" s="26">
        <v>1300</v>
      </c>
      <c r="H60" s="68">
        <v>21300</v>
      </c>
      <c r="I60" s="65">
        <v>12</v>
      </c>
      <c r="J60" s="26">
        <v>1666.6666666666667</v>
      </c>
      <c r="K60" s="26">
        <v>108.33333333333333</v>
      </c>
      <c r="L60" s="26">
        <v>1775</v>
      </c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>
        <v>2000</v>
      </c>
      <c r="Y60" s="70">
        <v>1</v>
      </c>
      <c r="Z60" s="29">
        <v>1891.6666666666667</v>
      </c>
      <c r="AA60" s="29">
        <v>108.33333333333333</v>
      </c>
      <c r="AB60" s="32">
        <v>2000</v>
      </c>
      <c r="AC60" s="71">
        <v>18108.333333333332</v>
      </c>
      <c r="AD60" s="29">
        <v>19300</v>
      </c>
    </row>
    <row r="61" spans="1:30" ht="26" x14ac:dyDescent="0.35">
      <c r="A61" s="11"/>
      <c r="B61" s="11"/>
      <c r="C61" s="11"/>
      <c r="D61" s="12"/>
      <c r="E61" s="12"/>
      <c r="F61" s="11">
        <v>5011000</v>
      </c>
      <c r="G61" s="90">
        <v>612887.83333333302</v>
      </c>
      <c r="H61" s="27">
        <v>5608917.833333333</v>
      </c>
      <c r="I61" s="11"/>
      <c r="J61" s="27">
        <v>2388491.6890959279</v>
      </c>
      <c r="K61" s="27">
        <v>173395.85507246383</v>
      </c>
      <c r="L61" s="27">
        <v>2561887.5441683922</v>
      </c>
      <c r="M61" s="11">
        <v>0</v>
      </c>
      <c r="N61" s="11">
        <v>9917</v>
      </c>
      <c r="O61" s="11">
        <v>19000</v>
      </c>
      <c r="P61" s="11">
        <v>52750</v>
      </c>
      <c r="Q61" s="11">
        <v>125631</v>
      </c>
      <c r="R61" s="11">
        <v>520739</v>
      </c>
      <c r="S61" s="11">
        <v>162926</v>
      </c>
      <c r="T61" s="11">
        <v>126838</v>
      </c>
      <c r="U61" s="11">
        <v>94628</v>
      </c>
      <c r="V61" s="11">
        <v>68028</v>
      </c>
      <c r="W61" s="11">
        <v>509447</v>
      </c>
      <c r="X61" s="11">
        <v>816288</v>
      </c>
      <c r="Y61" s="33"/>
      <c r="Z61" s="30">
        <v>2330357.4782608692</v>
      </c>
      <c r="AA61" s="30">
        <v>179670.27173913043</v>
      </c>
      <c r="AB61" s="30">
        <v>2506192</v>
      </c>
      <c r="AC61" s="30">
        <v>2684886.5217391304</v>
      </c>
      <c r="AD61" s="30">
        <v>3123915.8333333335</v>
      </c>
    </row>
  </sheetData>
  <mergeCells count="5">
    <mergeCell ref="A3:B3"/>
    <mergeCell ref="I3:K3"/>
    <mergeCell ref="L3:AD3"/>
    <mergeCell ref="A1:AD2"/>
    <mergeCell ref="C3:H3"/>
  </mergeCells>
  <dataValidations count="1">
    <dataValidation type="list" allowBlank="1" showInputMessage="1" showErrorMessage="1" sqref="C6:C60">
      <formula1>"Select One, Personal Investment, Business Investment, Kard Hasana"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Savings Reg.</vt:lpstr>
      <vt:lpstr>Invest&amp;Recovery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2026-04-21T14:02:58Z</dcterms:modified>
</cp:coreProperties>
</file>